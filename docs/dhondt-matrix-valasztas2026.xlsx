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Zoli/Downloads/"/>
    </mc:Choice>
  </mc:AlternateContent>
  <xr:revisionPtr revIDLastSave="0" documentId="13_ncr:1_{4DD794CA-16CD-E94A-B77C-CC386C3711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V2026" sheetId="1" r:id="rId1"/>
    <sheet name="Level-Nelkul" sheetId="2" r:id="rId2"/>
    <sheet name="Tisztan-Lista" sheetId="3" r:id="rId3"/>
  </sheets>
  <definedNames>
    <definedName name="_xlchart.v2.0" hidden="1">'Tisztan-Lista'!$M$2:$M$4</definedName>
    <definedName name="_xlchart.v2.1" hidden="1">'Tisztan-Lista'!$N$1</definedName>
    <definedName name="_xlchart.v2.2" hidden="1">'Tisztan-Lista'!$N$2:$N$4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B110" i="3"/>
  <c r="C110" i="3"/>
  <c r="D110" i="3"/>
  <c r="B111" i="3"/>
  <c r="C111" i="3"/>
  <c r="D111" i="3"/>
  <c r="B112" i="3"/>
  <c r="C112" i="3"/>
  <c r="D112" i="3"/>
  <c r="B113" i="3"/>
  <c r="C113" i="3"/>
  <c r="D113" i="3"/>
  <c r="B114" i="3"/>
  <c r="C114" i="3"/>
  <c r="D114" i="3"/>
  <c r="B115" i="3"/>
  <c r="C115" i="3"/>
  <c r="D115" i="3"/>
  <c r="B116" i="3"/>
  <c r="C116" i="3"/>
  <c r="D116" i="3"/>
  <c r="B117" i="3"/>
  <c r="C117" i="3"/>
  <c r="D117" i="3"/>
  <c r="B118" i="3"/>
  <c r="C118" i="3"/>
  <c r="D118" i="3"/>
  <c r="B119" i="3"/>
  <c r="C119" i="3"/>
  <c r="D119" i="3"/>
  <c r="B120" i="3"/>
  <c r="C120" i="3"/>
  <c r="D120" i="3"/>
  <c r="B121" i="3"/>
  <c r="C121" i="3"/>
  <c r="D121" i="3"/>
  <c r="B122" i="3"/>
  <c r="C122" i="3"/>
  <c r="D122" i="3"/>
  <c r="B123" i="3"/>
  <c r="C123" i="3"/>
  <c r="D123" i="3"/>
  <c r="B124" i="3"/>
  <c r="C124" i="3"/>
  <c r="D124" i="3"/>
  <c r="B125" i="3"/>
  <c r="C125" i="3"/>
  <c r="D125" i="3"/>
  <c r="B126" i="3"/>
  <c r="C126" i="3"/>
  <c r="D126" i="3"/>
  <c r="B127" i="3"/>
  <c r="C127" i="3"/>
  <c r="D127" i="3"/>
  <c r="B128" i="3"/>
  <c r="C128" i="3"/>
  <c r="D128" i="3"/>
  <c r="B129" i="3"/>
  <c r="C129" i="3"/>
  <c r="D129" i="3"/>
  <c r="B130" i="3"/>
  <c r="C130" i="3"/>
  <c r="D130" i="3"/>
  <c r="B131" i="3"/>
  <c r="C131" i="3"/>
  <c r="D131" i="3"/>
  <c r="B132" i="3"/>
  <c r="C132" i="3"/>
  <c r="D132" i="3"/>
  <c r="B133" i="3"/>
  <c r="C133" i="3"/>
  <c r="D133" i="3"/>
  <c r="B134" i="3"/>
  <c r="C134" i="3"/>
  <c r="D134" i="3"/>
  <c r="B135" i="3"/>
  <c r="C135" i="3"/>
  <c r="D135" i="3"/>
  <c r="B136" i="3"/>
  <c r="C136" i="3"/>
  <c r="D136" i="3"/>
  <c r="B137" i="3"/>
  <c r="C137" i="3"/>
  <c r="D137" i="3"/>
  <c r="B138" i="3"/>
  <c r="C138" i="3"/>
  <c r="D138" i="3"/>
  <c r="B139" i="3"/>
  <c r="C139" i="3"/>
  <c r="D139" i="3"/>
  <c r="B140" i="3"/>
  <c r="C140" i="3"/>
  <c r="D140" i="3"/>
  <c r="B141" i="3"/>
  <c r="C141" i="3"/>
  <c r="D141" i="3"/>
  <c r="B142" i="3"/>
  <c r="C142" i="3"/>
  <c r="D142" i="3"/>
  <c r="B143" i="3"/>
  <c r="C143" i="3"/>
  <c r="D143" i="3"/>
  <c r="B144" i="3"/>
  <c r="C144" i="3"/>
  <c r="D144" i="3"/>
  <c r="B145" i="3"/>
  <c r="C145" i="3"/>
  <c r="D145" i="3"/>
  <c r="B146" i="3"/>
  <c r="C146" i="3"/>
  <c r="D146" i="3"/>
  <c r="B147" i="3"/>
  <c r="C147" i="3"/>
  <c r="D147" i="3"/>
  <c r="B148" i="3"/>
  <c r="C148" i="3"/>
  <c r="D148" i="3"/>
  <c r="B149" i="3"/>
  <c r="C149" i="3"/>
  <c r="D149" i="3"/>
  <c r="B150" i="3"/>
  <c r="C150" i="3"/>
  <c r="D150" i="3"/>
  <c r="B151" i="3"/>
  <c r="C151" i="3"/>
  <c r="D151" i="3"/>
  <c r="B152" i="3"/>
  <c r="C152" i="3"/>
  <c r="D152" i="3"/>
  <c r="B153" i="3"/>
  <c r="C153" i="3"/>
  <c r="D153" i="3"/>
  <c r="B154" i="3"/>
  <c r="C154" i="3"/>
  <c r="D154" i="3"/>
  <c r="B155" i="3"/>
  <c r="C155" i="3"/>
  <c r="D155" i="3"/>
  <c r="B156" i="3"/>
  <c r="C156" i="3"/>
  <c r="D156" i="3"/>
  <c r="B157" i="3"/>
  <c r="C157" i="3"/>
  <c r="D157" i="3"/>
  <c r="B158" i="3"/>
  <c r="C158" i="3"/>
  <c r="D158" i="3"/>
  <c r="B159" i="3"/>
  <c r="C159" i="3"/>
  <c r="D159" i="3"/>
  <c r="B160" i="3"/>
  <c r="C160" i="3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B185" i="3"/>
  <c r="C185" i="3"/>
  <c r="D185" i="3"/>
  <c r="B186" i="3"/>
  <c r="C186" i="3"/>
  <c r="D186" i="3"/>
  <c r="B187" i="3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C195" i="3"/>
  <c r="D195" i="3"/>
  <c r="B196" i="3"/>
  <c r="C196" i="3"/>
  <c r="D196" i="3"/>
  <c r="B197" i="3"/>
  <c r="C197" i="3"/>
  <c r="D197" i="3"/>
  <c r="B198" i="3"/>
  <c r="C198" i="3"/>
  <c r="D198" i="3"/>
  <c r="B199" i="3"/>
  <c r="C199" i="3"/>
  <c r="D199" i="3"/>
  <c r="B200" i="3"/>
  <c r="C200" i="3"/>
  <c r="D200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Q12" i="1"/>
  <c r="O12" i="1"/>
  <c r="N12" i="1"/>
  <c r="Q9" i="1"/>
  <c r="O9" i="1"/>
  <c r="N9" i="1"/>
  <c r="C2" i="2"/>
  <c r="C86" i="2" s="1"/>
  <c r="B2" i="2"/>
  <c r="B94" i="2" s="1"/>
  <c r="D2" i="2"/>
  <c r="D94" i="2" s="1"/>
  <c r="C93" i="2"/>
  <c r="D92" i="2"/>
  <c r="C92" i="2"/>
  <c r="D91" i="2"/>
  <c r="C91" i="2"/>
  <c r="D87" i="2"/>
  <c r="D86" i="2"/>
  <c r="D85" i="2"/>
  <c r="D84" i="2"/>
  <c r="D83" i="2"/>
  <c r="C83" i="2"/>
  <c r="D81" i="2"/>
  <c r="D80" i="2"/>
  <c r="D79" i="2"/>
  <c r="C79" i="2"/>
  <c r="D78" i="2"/>
  <c r="D77" i="2"/>
  <c r="D75" i="2"/>
  <c r="C75" i="2"/>
  <c r="D74" i="2"/>
  <c r="D73" i="2"/>
  <c r="D72" i="2"/>
  <c r="D71" i="2"/>
  <c r="C71" i="2"/>
  <c r="D70" i="2"/>
  <c r="D69" i="2"/>
  <c r="D68" i="2"/>
  <c r="D67" i="2"/>
  <c r="C67" i="2"/>
  <c r="D66" i="2"/>
  <c r="D65" i="2"/>
  <c r="D64" i="2"/>
  <c r="D63" i="2"/>
  <c r="C63" i="2"/>
  <c r="D62" i="2"/>
  <c r="D61" i="2"/>
  <c r="D60" i="2"/>
  <c r="B60" i="2"/>
  <c r="D59" i="2"/>
  <c r="C59" i="2"/>
  <c r="D58" i="2"/>
  <c r="D57" i="2"/>
  <c r="D56" i="2"/>
  <c r="D55" i="2"/>
  <c r="D54" i="2"/>
  <c r="D53" i="2"/>
  <c r="D52" i="2"/>
  <c r="D51" i="2"/>
  <c r="C51" i="2"/>
  <c r="D50" i="2"/>
  <c r="D49" i="2"/>
  <c r="D48" i="2"/>
  <c r="D47" i="2"/>
  <c r="C47" i="2"/>
  <c r="D46" i="2"/>
  <c r="D45" i="2"/>
  <c r="D44" i="2"/>
  <c r="D43" i="2"/>
  <c r="C43" i="2"/>
  <c r="B43" i="2"/>
  <c r="D42" i="2"/>
  <c r="D41" i="2"/>
  <c r="D40" i="2"/>
  <c r="D39" i="2"/>
  <c r="C39" i="2"/>
  <c r="D38" i="2"/>
  <c r="D37" i="2"/>
  <c r="D36" i="2"/>
  <c r="D35" i="2"/>
  <c r="C35" i="2"/>
  <c r="D34" i="2"/>
  <c r="D33" i="2"/>
  <c r="D32" i="2"/>
  <c r="D31" i="2"/>
  <c r="C31" i="2"/>
  <c r="D30" i="2"/>
  <c r="D29" i="2"/>
  <c r="D28" i="2"/>
  <c r="D27" i="2"/>
  <c r="C27" i="2"/>
  <c r="D26" i="2"/>
  <c r="D25" i="2"/>
  <c r="D24" i="2"/>
  <c r="D23" i="2"/>
  <c r="C23" i="2"/>
  <c r="D22" i="2"/>
  <c r="D21" i="2"/>
  <c r="B21" i="2"/>
  <c r="D20" i="2"/>
  <c r="D19" i="2"/>
  <c r="C19" i="2"/>
  <c r="D18" i="2"/>
  <c r="D17" i="2"/>
  <c r="D16" i="2"/>
  <c r="D15" i="2"/>
  <c r="C15" i="2"/>
  <c r="D14" i="2"/>
  <c r="D13" i="2"/>
  <c r="D12" i="2"/>
  <c r="D11" i="2"/>
  <c r="C11" i="2"/>
  <c r="D10" i="2"/>
  <c r="D9" i="2"/>
  <c r="D8" i="2"/>
  <c r="D7" i="2"/>
  <c r="C7" i="2"/>
  <c r="D6" i="2"/>
  <c r="D5" i="2"/>
  <c r="B5" i="2"/>
  <c r="D4" i="2"/>
  <c r="D3" i="2"/>
  <c r="C3" i="2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K3" i="3" l="1"/>
  <c r="I3" i="3" s="1"/>
  <c r="K5" i="3"/>
  <c r="I5" i="3" s="1"/>
  <c r="K196" i="3"/>
  <c r="I196" i="3" s="1"/>
  <c r="K148" i="3"/>
  <c r="I148" i="3" s="1"/>
  <c r="K100" i="3"/>
  <c r="I100" i="3" s="1"/>
  <c r="K52" i="3"/>
  <c r="I52" i="3" s="1"/>
  <c r="K16" i="3"/>
  <c r="I16" i="3" s="1"/>
  <c r="K183" i="3"/>
  <c r="I183" i="3" s="1"/>
  <c r="K135" i="3"/>
  <c r="I135" i="3" s="1"/>
  <c r="K87" i="3"/>
  <c r="I87" i="3" s="1"/>
  <c r="K27" i="3"/>
  <c r="I27" i="3" s="1"/>
  <c r="K170" i="3"/>
  <c r="I170" i="3" s="1"/>
  <c r="K98" i="3"/>
  <c r="I98" i="3" s="1"/>
  <c r="K193" i="3"/>
  <c r="I193" i="3" s="1"/>
  <c r="K181" i="3"/>
  <c r="I181" i="3" s="1"/>
  <c r="K169" i="3"/>
  <c r="I169" i="3" s="1"/>
  <c r="K157" i="3"/>
  <c r="I157" i="3" s="1"/>
  <c r="K145" i="3"/>
  <c r="I145" i="3" s="1"/>
  <c r="K133" i="3"/>
  <c r="I133" i="3" s="1"/>
  <c r="K121" i="3"/>
  <c r="I121" i="3" s="1"/>
  <c r="K109" i="3"/>
  <c r="I109" i="3" s="1"/>
  <c r="K97" i="3"/>
  <c r="I97" i="3" s="1"/>
  <c r="K85" i="3"/>
  <c r="I85" i="3" s="1"/>
  <c r="K73" i="3"/>
  <c r="I73" i="3" s="1"/>
  <c r="K61" i="3"/>
  <c r="I61" i="3" s="1"/>
  <c r="K49" i="3"/>
  <c r="I49" i="3" s="1"/>
  <c r="K37" i="3"/>
  <c r="I37" i="3" s="1"/>
  <c r="K25" i="3"/>
  <c r="I25" i="3" s="1"/>
  <c r="K13" i="3"/>
  <c r="I13" i="3" s="1"/>
  <c r="K194" i="3"/>
  <c r="I194" i="3" s="1"/>
  <c r="K122" i="3"/>
  <c r="I122" i="3" s="1"/>
  <c r="K74" i="3"/>
  <c r="I74" i="3" s="1"/>
  <c r="K26" i="3"/>
  <c r="I26" i="3" s="1"/>
  <c r="K192" i="3"/>
  <c r="I192" i="3" s="1"/>
  <c r="K180" i="3"/>
  <c r="I180" i="3" s="1"/>
  <c r="K168" i="3"/>
  <c r="I168" i="3" s="1"/>
  <c r="K156" i="3"/>
  <c r="I156" i="3" s="1"/>
  <c r="K144" i="3"/>
  <c r="I144" i="3" s="1"/>
  <c r="K132" i="3"/>
  <c r="I132" i="3" s="1"/>
  <c r="K120" i="3"/>
  <c r="I120" i="3" s="1"/>
  <c r="K108" i="3"/>
  <c r="I108" i="3" s="1"/>
  <c r="K96" i="3"/>
  <c r="I96" i="3" s="1"/>
  <c r="K84" i="3"/>
  <c r="I84" i="3" s="1"/>
  <c r="K72" i="3"/>
  <c r="I72" i="3" s="1"/>
  <c r="K60" i="3"/>
  <c r="I60" i="3" s="1"/>
  <c r="K48" i="3"/>
  <c r="I48" i="3" s="1"/>
  <c r="K36" i="3"/>
  <c r="I36" i="3" s="1"/>
  <c r="J36" i="3" s="1"/>
  <c r="K24" i="3"/>
  <c r="I24" i="3" s="1"/>
  <c r="K12" i="3"/>
  <c r="I12" i="3" s="1"/>
  <c r="K172" i="3"/>
  <c r="I172" i="3" s="1"/>
  <c r="K124" i="3"/>
  <c r="I124" i="3" s="1"/>
  <c r="K64" i="3"/>
  <c r="I64" i="3" s="1"/>
  <c r="K4" i="3"/>
  <c r="I4" i="3" s="1"/>
  <c r="K195" i="3"/>
  <c r="I195" i="3" s="1"/>
  <c r="K147" i="3"/>
  <c r="I147" i="3" s="1"/>
  <c r="K99" i="3"/>
  <c r="I99" i="3" s="1"/>
  <c r="K51" i="3"/>
  <c r="I51" i="3" s="1"/>
  <c r="K15" i="3"/>
  <c r="I15" i="3" s="1"/>
  <c r="K182" i="3"/>
  <c r="I182" i="3" s="1"/>
  <c r="J182" i="3" s="1"/>
  <c r="K134" i="3"/>
  <c r="I134" i="3" s="1"/>
  <c r="K50" i="3"/>
  <c r="I50" i="3" s="1"/>
  <c r="K191" i="3"/>
  <c r="I191" i="3" s="1"/>
  <c r="K179" i="3"/>
  <c r="I179" i="3" s="1"/>
  <c r="K167" i="3"/>
  <c r="I167" i="3" s="1"/>
  <c r="K155" i="3"/>
  <c r="I155" i="3" s="1"/>
  <c r="K143" i="3"/>
  <c r="I143" i="3" s="1"/>
  <c r="K131" i="3"/>
  <c r="I131" i="3" s="1"/>
  <c r="K119" i="3"/>
  <c r="I119" i="3" s="1"/>
  <c r="K107" i="3"/>
  <c r="I107" i="3" s="1"/>
  <c r="K95" i="3"/>
  <c r="I95" i="3" s="1"/>
  <c r="K83" i="3"/>
  <c r="I83" i="3" s="1"/>
  <c r="J83" i="3" s="1"/>
  <c r="K71" i="3"/>
  <c r="I71" i="3" s="1"/>
  <c r="K59" i="3"/>
  <c r="I59" i="3" s="1"/>
  <c r="K47" i="3"/>
  <c r="I47" i="3" s="1"/>
  <c r="K35" i="3"/>
  <c r="I35" i="3" s="1"/>
  <c r="K23" i="3"/>
  <c r="I23" i="3" s="1"/>
  <c r="K11" i="3"/>
  <c r="I11" i="3" s="1"/>
  <c r="K146" i="3"/>
  <c r="I146" i="3" s="1"/>
  <c r="K86" i="3"/>
  <c r="I86" i="3" s="1"/>
  <c r="K38" i="3"/>
  <c r="I38" i="3" s="1"/>
  <c r="K190" i="3"/>
  <c r="I190" i="3" s="1"/>
  <c r="K178" i="3"/>
  <c r="I178" i="3" s="1"/>
  <c r="J178" i="3" s="1"/>
  <c r="K166" i="3"/>
  <c r="I166" i="3" s="1"/>
  <c r="K154" i="3"/>
  <c r="I154" i="3" s="1"/>
  <c r="K142" i="3"/>
  <c r="I142" i="3" s="1"/>
  <c r="K130" i="3"/>
  <c r="I130" i="3" s="1"/>
  <c r="K118" i="3"/>
  <c r="I118" i="3" s="1"/>
  <c r="K106" i="3"/>
  <c r="I106" i="3" s="1"/>
  <c r="K94" i="3"/>
  <c r="I94" i="3" s="1"/>
  <c r="K82" i="3"/>
  <c r="I82" i="3" s="1"/>
  <c r="K70" i="3"/>
  <c r="I70" i="3" s="1"/>
  <c r="K58" i="3"/>
  <c r="I58" i="3" s="1"/>
  <c r="K46" i="3"/>
  <c r="I46" i="3" s="1"/>
  <c r="J46" i="3" s="1"/>
  <c r="K34" i="3"/>
  <c r="I34" i="3" s="1"/>
  <c r="J34" i="3" s="1"/>
  <c r="K22" i="3"/>
  <c r="I22" i="3" s="1"/>
  <c r="K10" i="3"/>
  <c r="I10" i="3" s="1"/>
  <c r="K158" i="3"/>
  <c r="I158" i="3" s="1"/>
  <c r="K110" i="3"/>
  <c r="I110" i="3" s="1"/>
  <c r="K62" i="3"/>
  <c r="I62" i="3" s="1"/>
  <c r="K14" i="3"/>
  <c r="I14" i="3" s="1"/>
  <c r="K2" i="3"/>
  <c r="I2" i="3" s="1"/>
  <c r="K189" i="3"/>
  <c r="I189" i="3" s="1"/>
  <c r="K177" i="3"/>
  <c r="I177" i="3" s="1"/>
  <c r="K165" i="3"/>
  <c r="I165" i="3" s="1"/>
  <c r="K153" i="3"/>
  <c r="I153" i="3" s="1"/>
  <c r="J153" i="3" s="1"/>
  <c r="K141" i="3"/>
  <c r="I141" i="3" s="1"/>
  <c r="J141" i="3" s="1"/>
  <c r="K129" i="3"/>
  <c r="I129" i="3" s="1"/>
  <c r="J129" i="3" s="1"/>
  <c r="K117" i="3"/>
  <c r="I117" i="3" s="1"/>
  <c r="K105" i="3"/>
  <c r="I105" i="3" s="1"/>
  <c r="K93" i="3"/>
  <c r="I93" i="3" s="1"/>
  <c r="K81" i="3"/>
  <c r="I81" i="3" s="1"/>
  <c r="K69" i="3"/>
  <c r="I69" i="3" s="1"/>
  <c r="K57" i="3"/>
  <c r="I57" i="3" s="1"/>
  <c r="K45" i="3"/>
  <c r="I45" i="3" s="1"/>
  <c r="J45" i="3" s="1"/>
  <c r="K33" i="3"/>
  <c r="I33" i="3" s="1"/>
  <c r="K21" i="3"/>
  <c r="I21" i="3" s="1"/>
  <c r="K9" i="3"/>
  <c r="I9" i="3" s="1"/>
  <c r="J9" i="3" s="1"/>
  <c r="K187" i="3"/>
  <c r="K163" i="3"/>
  <c r="I163" i="3" s="1"/>
  <c r="J163" i="3" s="1"/>
  <c r="K139" i="3"/>
  <c r="I139" i="3" s="1"/>
  <c r="K127" i="3"/>
  <c r="I127" i="3" s="1"/>
  <c r="J127" i="3" s="1"/>
  <c r="K115" i="3"/>
  <c r="I115" i="3" s="1"/>
  <c r="K103" i="3"/>
  <c r="I103" i="3" s="1"/>
  <c r="K91" i="3"/>
  <c r="I91" i="3" s="1"/>
  <c r="K79" i="3"/>
  <c r="I79" i="3" s="1"/>
  <c r="K67" i="3"/>
  <c r="I67" i="3" s="1"/>
  <c r="K55" i="3"/>
  <c r="I55" i="3" s="1"/>
  <c r="K43" i="3"/>
  <c r="I43" i="3" s="1"/>
  <c r="K31" i="3"/>
  <c r="I31" i="3" s="1"/>
  <c r="J31" i="3" s="1"/>
  <c r="K19" i="3"/>
  <c r="I19" i="3" s="1"/>
  <c r="J19" i="3" s="1"/>
  <c r="K7" i="3"/>
  <c r="I7" i="3" s="1"/>
  <c r="J7" i="3" s="1"/>
  <c r="K184" i="3"/>
  <c r="I184" i="3" s="1"/>
  <c r="J184" i="3" s="1"/>
  <c r="K136" i="3"/>
  <c r="I136" i="3" s="1"/>
  <c r="K88" i="3"/>
  <c r="I88" i="3" s="1"/>
  <c r="K40" i="3"/>
  <c r="I40" i="3" s="1"/>
  <c r="K171" i="3"/>
  <c r="I171" i="3" s="1"/>
  <c r="K123" i="3"/>
  <c r="I123" i="3" s="1"/>
  <c r="K75" i="3"/>
  <c r="I75" i="3" s="1"/>
  <c r="K39" i="3"/>
  <c r="I39" i="3" s="1"/>
  <c r="K188" i="3"/>
  <c r="I188" i="3" s="1"/>
  <c r="J188" i="3" s="1"/>
  <c r="K164" i="3"/>
  <c r="I164" i="3" s="1"/>
  <c r="J164" i="3" s="1"/>
  <c r="K140" i="3"/>
  <c r="I140" i="3" s="1"/>
  <c r="J140" i="3" s="1"/>
  <c r="K116" i="3"/>
  <c r="I116" i="3" s="1"/>
  <c r="J116" i="3" s="1"/>
  <c r="K92" i="3"/>
  <c r="I92" i="3" s="1"/>
  <c r="J92" i="3" s="1"/>
  <c r="K68" i="3"/>
  <c r="I68" i="3" s="1"/>
  <c r="J68" i="3" s="1"/>
  <c r="K44" i="3"/>
  <c r="I44" i="3" s="1"/>
  <c r="K20" i="3"/>
  <c r="I20" i="3" s="1"/>
  <c r="K199" i="3"/>
  <c r="I199" i="3" s="1"/>
  <c r="K175" i="3"/>
  <c r="I175" i="3" s="1"/>
  <c r="K198" i="3"/>
  <c r="I198" i="3" s="1"/>
  <c r="J198" i="3" s="1"/>
  <c r="K186" i="3"/>
  <c r="I186" i="3" s="1"/>
  <c r="J186" i="3" s="1"/>
  <c r="K174" i="3"/>
  <c r="I174" i="3" s="1"/>
  <c r="J174" i="3" s="1"/>
  <c r="K162" i="3"/>
  <c r="I162" i="3" s="1"/>
  <c r="J162" i="3" s="1"/>
  <c r="K150" i="3"/>
  <c r="I150" i="3" s="1"/>
  <c r="J150" i="3" s="1"/>
  <c r="K138" i="3"/>
  <c r="I138" i="3" s="1"/>
  <c r="J138" i="3" s="1"/>
  <c r="K126" i="3"/>
  <c r="I126" i="3" s="1"/>
  <c r="J126" i="3" s="1"/>
  <c r="K114" i="3"/>
  <c r="I114" i="3" s="1"/>
  <c r="J114" i="3" s="1"/>
  <c r="K102" i="3"/>
  <c r="I102" i="3" s="1"/>
  <c r="K90" i="3"/>
  <c r="I90" i="3" s="1"/>
  <c r="K78" i="3"/>
  <c r="I78" i="3" s="1"/>
  <c r="J78" i="3" s="1"/>
  <c r="K66" i="3"/>
  <c r="I66" i="3" s="1"/>
  <c r="J66" i="3" s="1"/>
  <c r="K54" i="3"/>
  <c r="I54" i="3" s="1"/>
  <c r="J54" i="3" s="1"/>
  <c r="K42" i="3"/>
  <c r="I42" i="3" s="1"/>
  <c r="J42" i="3" s="1"/>
  <c r="K30" i="3"/>
  <c r="I30" i="3" s="1"/>
  <c r="K18" i="3"/>
  <c r="I18" i="3" s="1"/>
  <c r="J18" i="3" s="1"/>
  <c r="K6" i="3"/>
  <c r="I6" i="3" s="1"/>
  <c r="J6" i="3" s="1"/>
  <c r="K160" i="3"/>
  <c r="I160" i="3" s="1"/>
  <c r="J160" i="3" s="1"/>
  <c r="K112" i="3"/>
  <c r="I112" i="3" s="1"/>
  <c r="J112" i="3" s="1"/>
  <c r="K76" i="3"/>
  <c r="I76" i="3" s="1"/>
  <c r="J76" i="3" s="1"/>
  <c r="K28" i="3"/>
  <c r="I28" i="3" s="1"/>
  <c r="K159" i="3"/>
  <c r="I159" i="3" s="1"/>
  <c r="K111" i="3"/>
  <c r="I111" i="3" s="1"/>
  <c r="K63" i="3"/>
  <c r="I63" i="3" s="1"/>
  <c r="J63" i="3" s="1"/>
  <c r="K200" i="3"/>
  <c r="I200" i="3" s="1"/>
  <c r="J200" i="3" s="1"/>
  <c r="K176" i="3"/>
  <c r="I176" i="3" s="1"/>
  <c r="K152" i="3"/>
  <c r="I152" i="3" s="1"/>
  <c r="J152" i="3" s="1"/>
  <c r="K128" i="3"/>
  <c r="I128" i="3" s="1"/>
  <c r="J128" i="3" s="1"/>
  <c r="K104" i="3"/>
  <c r="I104" i="3" s="1"/>
  <c r="J104" i="3" s="1"/>
  <c r="K80" i="3"/>
  <c r="I80" i="3" s="1"/>
  <c r="J80" i="3" s="1"/>
  <c r="K56" i="3"/>
  <c r="I56" i="3" s="1"/>
  <c r="J56" i="3" s="1"/>
  <c r="K32" i="3"/>
  <c r="I32" i="3" s="1"/>
  <c r="J32" i="3" s="1"/>
  <c r="K8" i="3"/>
  <c r="I8" i="3" s="1"/>
  <c r="K151" i="3"/>
  <c r="I151" i="3" s="1"/>
  <c r="K197" i="3"/>
  <c r="I197" i="3" s="1"/>
  <c r="J197" i="3" s="1"/>
  <c r="K185" i="3"/>
  <c r="I185" i="3" s="1"/>
  <c r="K173" i="3"/>
  <c r="I173" i="3" s="1"/>
  <c r="J173" i="3" s="1"/>
  <c r="K161" i="3"/>
  <c r="I161" i="3" s="1"/>
  <c r="J161" i="3" s="1"/>
  <c r="K149" i="3"/>
  <c r="I149" i="3" s="1"/>
  <c r="J149" i="3" s="1"/>
  <c r="K137" i="3"/>
  <c r="I137" i="3" s="1"/>
  <c r="J137" i="3" s="1"/>
  <c r="K125" i="3"/>
  <c r="I125" i="3" s="1"/>
  <c r="J125" i="3" s="1"/>
  <c r="K113" i="3"/>
  <c r="I113" i="3" s="1"/>
  <c r="J113" i="3" s="1"/>
  <c r="K101" i="3"/>
  <c r="I101" i="3" s="1"/>
  <c r="J101" i="3" s="1"/>
  <c r="K89" i="3"/>
  <c r="I89" i="3" s="1"/>
  <c r="J89" i="3" s="1"/>
  <c r="K77" i="3"/>
  <c r="I77" i="3" s="1"/>
  <c r="K65" i="3"/>
  <c r="I65" i="3" s="1"/>
  <c r="J65" i="3" s="1"/>
  <c r="K53" i="3"/>
  <c r="I53" i="3" s="1"/>
  <c r="K41" i="3"/>
  <c r="I41" i="3" s="1"/>
  <c r="J41" i="3" s="1"/>
  <c r="K29" i="3"/>
  <c r="I29" i="3" s="1"/>
  <c r="J29" i="3" s="1"/>
  <c r="K17" i="3"/>
  <c r="I17" i="3" s="1"/>
  <c r="J17" i="3" s="1"/>
  <c r="J105" i="3"/>
  <c r="J196" i="3"/>
  <c r="J190" i="3"/>
  <c r="J181" i="3"/>
  <c r="J172" i="3"/>
  <c r="J157" i="3"/>
  <c r="J154" i="3"/>
  <c r="J151" i="3"/>
  <c r="J148" i="3"/>
  <c r="J145" i="3"/>
  <c r="J142" i="3"/>
  <c r="J139" i="3"/>
  <c r="J136" i="3"/>
  <c r="J133" i="3"/>
  <c r="J130" i="3"/>
  <c r="J124" i="3"/>
  <c r="J121" i="3"/>
  <c r="J118" i="3"/>
  <c r="J115" i="3"/>
  <c r="J193" i="3"/>
  <c r="J95" i="3"/>
  <c r="J156" i="3"/>
  <c r="J111" i="3"/>
  <c r="J102" i="3"/>
  <c r="J166" i="3"/>
  <c r="J98" i="3"/>
  <c r="J189" i="3"/>
  <c r="J180" i="3"/>
  <c r="J144" i="3"/>
  <c r="J132" i="3"/>
  <c r="J120" i="3"/>
  <c r="J106" i="3"/>
  <c r="J97" i="3"/>
  <c r="J191" i="3"/>
  <c r="J185" i="3"/>
  <c r="J176" i="3"/>
  <c r="J170" i="3"/>
  <c r="J158" i="3"/>
  <c r="J155" i="3"/>
  <c r="J146" i="3"/>
  <c r="J143" i="3"/>
  <c r="J134" i="3"/>
  <c r="J131" i="3"/>
  <c r="J122" i="3"/>
  <c r="J119" i="3"/>
  <c r="J110" i="3"/>
  <c r="J108" i="3"/>
  <c r="J199" i="3"/>
  <c r="J175" i="3"/>
  <c r="J192" i="3"/>
  <c r="J183" i="3"/>
  <c r="J171" i="3"/>
  <c r="J159" i="3"/>
  <c r="J147" i="3"/>
  <c r="J117" i="3"/>
  <c r="J109" i="3"/>
  <c r="J103" i="3"/>
  <c r="J100" i="3"/>
  <c r="J194" i="3"/>
  <c r="J179" i="3"/>
  <c r="J167" i="3"/>
  <c r="J99" i="3"/>
  <c r="J107" i="3"/>
  <c r="J168" i="3"/>
  <c r="J135" i="3"/>
  <c r="J96" i="3"/>
  <c r="J169" i="3"/>
  <c r="J195" i="3"/>
  <c r="J177" i="3"/>
  <c r="J165" i="3"/>
  <c r="J123" i="3"/>
  <c r="J10" i="3"/>
  <c r="J91" i="3"/>
  <c r="J25" i="3"/>
  <c r="J94" i="3"/>
  <c r="J49" i="3"/>
  <c r="J8" i="3"/>
  <c r="J57" i="3"/>
  <c r="J93" i="3"/>
  <c r="J33" i="3"/>
  <c r="J81" i="3"/>
  <c r="J71" i="3"/>
  <c r="J73" i="3"/>
  <c r="J11" i="3"/>
  <c r="J15" i="3"/>
  <c r="J23" i="3"/>
  <c r="J47" i="3"/>
  <c r="J55" i="3"/>
  <c r="J87" i="3"/>
  <c r="J3" i="3"/>
  <c r="J5" i="3"/>
  <c r="J13" i="3"/>
  <c r="J21" i="3"/>
  <c r="J37" i="3"/>
  <c r="J53" i="3"/>
  <c r="J69" i="3"/>
  <c r="J77" i="3"/>
  <c r="J85" i="3"/>
  <c r="J39" i="3"/>
  <c r="J79" i="3"/>
  <c r="J61" i="3"/>
  <c r="J12" i="3"/>
  <c r="J27" i="3"/>
  <c r="J35" i="3"/>
  <c r="J43" i="3"/>
  <c r="J51" i="3"/>
  <c r="J59" i="3"/>
  <c r="J67" i="3"/>
  <c r="J75" i="3"/>
  <c r="J4" i="3"/>
  <c r="J14" i="3"/>
  <c r="J16" i="3"/>
  <c r="J20" i="3"/>
  <c r="J22" i="3"/>
  <c r="J24" i="3"/>
  <c r="J26" i="3"/>
  <c r="J28" i="3"/>
  <c r="J30" i="3"/>
  <c r="J38" i="3"/>
  <c r="J40" i="3"/>
  <c r="J44" i="3"/>
  <c r="J48" i="3"/>
  <c r="J50" i="3"/>
  <c r="J52" i="3"/>
  <c r="J58" i="3"/>
  <c r="J60" i="3"/>
  <c r="J62" i="3"/>
  <c r="J64" i="3"/>
  <c r="J70" i="3"/>
  <c r="J72" i="3"/>
  <c r="J74" i="3"/>
  <c r="J82" i="3"/>
  <c r="J84" i="3"/>
  <c r="J86" i="3"/>
  <c r="J88" i="3"/>
  <c r="J90" i="3"/>
  <c r="B76" i="2"/>
  <c r="B22" i="2"/>
  <c r="B37" i="2"/>
  <c r="B77" i="2"/>
  <c r="B38" i="2"/>
  <c r="B54" i="2"/>
  <c r="B16" i="2"/>
  <c r="B10" i="2"/>
  <c r="B48" i="2"/>
  <c r="B26" i="2"/>
  <c r="B33" i="2"/>
  <c r="B65" i="2"/>
  <c r="B92" i="2"/>
  <c r="B71" i="2"/>
  <c r="B32" i="2"/>
  <c r="B11" i="2"/>
  <c r="B49" i="2"/>
  <c r="B82" i="2"/>
  <c r="B91" i="2"/>
  <c r="B55" i="2"/>
  <c r="B4" i="2"/>
  <c r="B27" i="2"/>
  <c r="B66" i="2"/>
  <c r="B83" i="2"/>
  <c r="B44" i="2"/>
  <c r="B61" i="2"/>
  <c r="B67" i="2"/>
  <c r="B72" i="2"/>
  <c r="B17" i="2"/>
  <c r="B50" i="2"/>
  <c r="B23" i="2"/>
  <c r="B28" i="2"/>
  <c r="B34" i="2"/>
  <c r="B56" i="2"/>
  <c r="B79" i="2"/>
  <c r="B85" i="2"/>
  <c r="B12" i="2"/>
  <c r="B18" i="2"/>
  <c r="B45" i="2"/>
  <c r="B51" i="2"/>
  <c r="B73" i="2"/>
  <c r="B93" i="2"/>
  <c r="B29" i="2"/>
  <c r="B40" i="2"/>
  <c r="B57" i="2"/>
  <c r="B63" i="2"/>
  <c r="B68" i="2"/>
  <c r="B86" i="2"/>
  <c r="B39" i="2"/>
  <c r="B13" i="2"/>
  <c r="B19" i="2"/>
  <c r="B24" i="2"/>
  <c r="B74" i="2"/>
  <c r="B80" i="2"/>
  <c r="D93" i="2"/>
  <c r="B6" i="2"/>
  <c r="B7" i="2"/>
  <c r="B35" i="2"/>
  <c r="B3" i="2"/>
  <c r="B8" i="2"/>
  <c r="B41" i="2"/>
  <c r="B47" i="2"/>
  <c r="B52" i="2"/>
  <c r="B58" i="2"/>
  <c r="B69" i="2"/>
  <c r="B87" i="2"/>
  <c r="B25" i="2"/>
  <c r="B31" i="2"/>
  <c r="B36" i="2"/>
  <c r="B64" i="2"/>
  <c r="B75" i="2"/>
  <c r="B81" i="2"/>
  <c r="B9" i="2"/>
  <c r="B15" i="2"/>
  <c r="B20" i="2"/>
  <c r="B42" i="2"/>
  <c r="B53" i="2"/>
  <c r="B59" i="2"/>
  <c r="B70" i="2"/>
  <c r="B88" i="2"/>
  <c r="D76" i="2"/>
  <c r="D82" i="2"/>
  <c r="D88" i="2"/>
  <c r="D89" i="2"/>
  <c r="D90" i="2"/>
  <c r="C55" i="2"/>
  <c r="B14" i="2"/>
  <c r="B30" i="2"/>
  <c r="B46" i="2"/>
  <c r="B62" i="2"/>
  <c r="B78" i="2"/>
  <c r="B89" i="2"/>
  <c r="B84" i="2"/>
  <c r="C87" i="2"/>
  <c r="C4" i="2"/>
  <c r="C8" i="2"/>
  <c r="C12" i="2"/>
  <c r="C16" i="2"/>
  <c r="C20" i="2"/>
  <c r="C24" i="2"/>
  <c r="C28" i="2"/>
  <c r="C32" i="2"/>
  <c r="C36" i="2"/>
  <c r="C40" i="2"/>
  <c r="C44" i="2"/>
  <c r="C48" i="2"/>
  <c r="C52" i="2"/>
  <c r="C56" i="2"/>
  <c r="C60" i="2"/>
  <c r="C64" i="2"/>
  <c r="C68" i="2"/>
  <c r="C72" i="2"/>
  <c r="C76" i="2"/>
  <c r="C80" i="2"/>
  <c r="C84" i="2"/>
  <c r="C88" i="2"/>
  <c r="C5" i="2"/>
  <c r="C9" i="2"/>
  <c r="C13" i="2"/>
  <c r="C17" i="2"/>
  <c r="C21" i="2"/>
  <c r="C25" i="2"/>
  <c r="C29" i="2"/>
  <c r="C33" i="2"/>
  <c r="C37" i="2"/>
  <c r="C41" i="2"/>
  <c r="C45" i="2"/>
  <c r="C49" i="2"/>
  <c r="C53" i="2"/>
  <c r="C57" i="2"/>
  <c r="C61" i="2"/>
  <c r="C65" i="2"/>
  <c r="C69" i="2"/>
  <c r="C73" i="2"/>
  <c r="C77" i="2"/>
  <c r="C81" i="2"/>
  <c r="C85" i="2"/>
  <c r="C89" i="2"/>
  <c r="C94" i="2"/>
  <c r="C90" i="2"/>
  <c r="C6" i="2"/>
  <c r="C10" i="2"/>
  <c r="C14" i="2"/>
  <c r="C18" i="2"/>
  <c r="C22" i="2"/>
  <c r="C26" i="2"/>
  <c r="C30" i="2"/>
  <c r="C34" i="2"/>
  <c r="C38" i="2"/>
  <c r="C42" i="2"/>
  <c r="C46" i="2"/>
  <c r="C50" i="2"/>
  <c r="C54" i="2"/>
  <c r="C58" i="2"/>
  <c r="C62" i="2"/>
  <c r="C66" i="2"/>
  <c r="C70" i="2"/>
  <c r="C74" i="2"/>
  <c r="C78" i="2"/>
  <c r="C82" i="2"/>
  <c r="B90" i="2"/>
  <c r="K2" i="1"/>
  <c r="I2" i="1" s="1"/>
  <c r="J2" i="1" s="1"/>
  <c r="K21" i="1"/>
  <c r="I21" i="1" s="1"/>
  <c r="J21" i="1" s="1"/>
  <c r="K23" i="1"/>
  <c r="I23" i="1" s="1"/>
  <c r="J23" i="1" s="1"/>
  <c r="K3" i="1"/>
  <c r="I3" i="1" s="1"/>
  <c r="J3" i="1" s="1"/>
  <c r="K52" i="1"/>
  <c r="I52" i="1" s="1"/>
  <c r="J52" i="1" s="1"/>
  <c r="K35" i="1"/>
  <c r="I35" i="1" s="1"/>
  <c r="J35" i="1" s="1"/>
  <c r="K7" i="1"/>
  <c r="I7" i="1" s="1"/>
  <c r="J7" i="1" s="1"/>
  <c r="K25" i="1"/>
  <c r="I25" i="1" s="1"/>
  <c r="J25" i="1" s="1"/>
  <c r="K30" i="1"/>
  <c r="I30" i="1" s="1"/>
  <c r="J30" i="1" s="1"/>
  <c r="K92" i="1"/>
  <c r="I92" i="1" s="1"/>
  <c r="J92" i="1" s="1"/>
  <c r="K10" i="1"/>
  <c r="I10" i="1" s="1"/>
  <c r="J10" i="1" s="1"/>
  <c r="K16" i="1"/>
  <c r="I16" i="1" s="1"/>
  <c r="J16" i="1" s="1"/>
  <c r="K26" i="1"/>
  <c r="I26" i="1" s="1"/>
  <c r="J26" i="1" s="1"/>
  <c r="K34" i="1"/>
  <c r="I34" i="1" s="1"/>
  <c r="J34" i="1" s="1"/>
  <c r="K44" i="1"/>
  <c r="I44" i="1" s="1"/>
  <c r="J44" i="1" s="1"/>
  <c r="K48" i="1"/>
  <c r="I48" i="1" s="1"/>
  <c r="J48" i="1" s="1"/>
  <c r="K54" i="1"/>
  <c r="I54" i="1" s="1"/>
  <c r="J54" i="1" s="1"/>
  <c r="K66" i="1"/>
  <c r="I66" i="1" s="1"/>
  <c r="J66" i="1" s="1"/>
  <c r="K94" i="1"/>
  <c r="I94" i="1" s="1"/>
  <c r="J94" i="1" s="1"/>
  <c r="K8" i="1"/>
  <c r="I8" i="1" s="1"/>
  <c r="J8" i="1" s="1"/>
  <c r="K12" i="1"/>
  <c r="I12" i="1" s="1"/>
  <c r="J12" i="1" s="1"/>
  <c r="K20" i="1"/>
  <c r="I20" i="1" s="1"/>
  <c r="J20" i="1" s="1"/>
  <c r="K28" i="1"/>
  <c r="I28" i="1" s="1"/>
  <c r="J28" i="1" s="1"/>
  <c r="K36" i="1"/>
  <c r="I36" i="1" s="1"/>
  <c r="J36" i="1" s="1"/>
  <c r="K42" i="1"/>
  <c r="I42" i="1" s="1"/>
  <c r="J42" i="1" s="1"/>
  <c r="K50" i="1"/>
  <c r="I50" i="1" s="1"/>
  <c r="J50" i="1" s="1"/>
  <c r="K58" i="1"/>
  <c r="I58" i="1" s="1"/>
  <c r="J58" i="1" s="1"/>
  <c r="K72" i="1"/>
  <c r="I72" i="1" s="1"/>
  <c r="J72" i="1" s="1"/>
  <c r="K90" i="1"/>
  <c r="I90" i="1" s="1"/>
  <c r="J90" i="1" s="1"/>
  <c r="K11" i="1"/>
  <c r="I11" i="1" s="1"/>
  <c r="J11" i="1" s="1"/>
  <c r="K29" i="1"/>
  <c r="I29" i="1" s="1"/>
  <c r="J29" i="1" s="1"/>
  <c r="K18" i="1"/>
  <c r="I18" i="1" s="1"/>
  <c r="J18" i="1" s="1"/>
  <c r="K38" i="1"/>
  <c r="I38" i="1" s="1"/>
  <c r="J38" i="1" s="1"/>
  <c r="K5" i="1"/>
  <c r="I5" i="1" s="1"/>
  <c r="J5" i="1" s="1"/>
  <c r="K13" i="1"/>
  <c r="I13" i="1" s="1"/>
  <c r="J13" i="1" s="1"/>
  <c r="K15" i="1"/>
  <c r="I15" i="1" s="1"/>
  <c r="J15" i="1" s="1"/>
  <c r="K19" i="1"/>
  <c r="I19" i="1" s="1"/>
  <c r="J19" i="1" s="1"/>
  <c r="K27" i="1"/>
  <c r="I27" i="1" s="1"/>
  <c r="J27" i="1" s="1"/>
  <c r="K31" i="1"/>
  <c r="I31" i="1" s="1"/>
  <c r="J31" i="1" s="1"/>
  <c r="K33" i="1"/>
  <c r="I33" i="1" s="1"/>
  <c r="J33" i="1" s="1"/>
  <c r="K39" i="1"/>
  <c r="I39" i="1" s="1"/>
  <c r="J39" i="1" s="1"/>
  <c r="K41" i="1"/>
  <c r="I41" i="1" s="1"/>
  <c r="J41" i="1" s="1"/>
  <c r="K43" i="1"/>
  <c r="I43" i="1" s="1"/>
  <c r="J43" i="1" s="1"/>
  <c r="K45" i="1"/>
  <c r="I45" i="1" s="1"/>
  <c r="J45" i="1" s="1"/>
  <c r="K47" i="1"/>
  <c r="I47" i="1" s="1"/>
  <c r="J47" i="1" s="1"/>
  <c r="K49" i="1"/>
  <c r="I49" i="1" s="1"/>
  <c r="J49" i="1" s="1"/>
  <c r="K51" i="1"/>
  <c r="I51" i="1" s="1"/>
  <c r="J51" i="1" s="1"/>
  <c r="K53" i="1"/>
  <c r="I53" i="1" s="1"/>
  <c r="J53" i="1" s="1"/>
  <c r="K55" i="1"/>
  <c r="I55" i="1" s="1"/>
  <c r="J55" i="1" s="1"/>
  <c r="K57" i="1"/>
  <c r="I57" i="1" s="1"/>
  <c r="J57" i="1" s="1"/>
  <c r="K59" i="1"/>
  <c r="I59" i="1" s="1"/>
  <c r="J59" i="1" s="1"/>
  <c r="K61" i="1"/>
  <c r="I61" i="1" s="1"/>
  <c r="J61" i="1" s="1"/>
  <c r="K63" i="1"/>
  <c r="I63" i="1" s="1"/>
  <c r="J63" i="1" s="1"/>
  <c r="K65" i="1"/>
  <c r="I65" i="1" s="1"/>
  <c r="J65" i="1" s="1"/>
  <c r="K69" i="1"/>
  <c r="I69" i="1" s="1"/>
  <c r="J69" i="1" s="1"/>
  <c r="K71" i="1"/>
  <c r="I71" i="1" s="1"/>
  <c r="J71" i="1" s="1"/>
  <c r="K73" i="1"/>
  <c r="I73" i="1" s="1"/>
  <c r="J73" i="1" s="1"/>
  <c r="K75" i="1"/>
  <c r="I75" i="1" s="1"/>
  <c r="J75" i="1" s="1"/>
  <c r="K77" i="1"/>
  <c r="I77" i="1" s="1"/>
  <c r="J77" i="1" s="1"/>
  <c r="K79" i="1"/>
  <c r="I79" i="1" s="1"/>
  <c r="J79" i="1" s="1"/>
  <c r="K83" i="1"/>
  <c r="I83" i="1" s="1"/>
  <c r="J83" i="1" s="1"/>
  <c r="K85" i="1"/>
  <c r="I85" i="1" s="1"/>
  <c r="J85" i="1" s="1"/>
  <c r="K87" i="1"/>
  <c r="I87" i="1" s="1"/>
  <c r="J87" i="1" s="1"/>
  <c r="K91" i="1"/>
  <c r="I91" i="1" s="1"/>
  <c r="J91" i="1" s="1"/>
  <c r="K9" i="1"/>
  <c r="I9" i="1" s="1"/>
  <c r="J9" i="1" s="1"/>
  <c r="K17" i="1"/>
  <c r="I17" i="1" s="1"/>
  <c r="J17" i="1" s="1"/>
  <c r="K37" i="1"/>
  <c r="I37" i="1" s="1"/>
  <c r="J37" i="1" s="1"/>
  <c r="K93" i="1"/>
  <c r="I93" i="1" s="1"/>
  <c r="J93" i="1" s="1"/>
  <c r="K67" i="1"/>
  <c r="I67" i="1" s="1"/>
  <c r="J67" i="1" s="1"/>
  <c r="K81" i="1"/>
  <c r="I81" i="1" s="1"/>
  <c r="J81" i="1" s="1"/>
  <c r="K89" i="1"/>
  <c r="I89" i="1" s="1"/>
  <c r="J89" i="1" s="1"/>
  <c r="K4" i="1"/>
  <c r="I4" i="1" s="1"/>
  <c r="J4" i="1" s="1"/>
  <c r="K6" i="1"/>
  <c r="I6" i="1" s="1"/>
  <c r="J6" i="1" s="1"/>
  <c r="K14" i="1"/>
  <c r="I14" i="1" s="1"/>
  <c r="J14" i="1" s="1"/>
  <c r="K22" i="1"/>
  <c r="I22" i="1" s="1"/>
  <c r="J22" i="1" s="1"/>
  <c r="K24" i="1"/>
  <c r="I24" i="1" s="1"/>
  <c r="J24" i="1" s="1"/>
  <c r="K32" i="1"/>
  <c r="I32" i="1" s="1"/>
  <c r="J32" i="1" s="1"/>
  <c r="K40" i="1"/>
  <c r="I40" i="1" s="1"/>
  <c r="J40" i="1" s="1"/>
  <c r="K46" i="1"/>
  <c r="I46" i="1" s="1"/>
  <c r="J46" i="1" s="1"/>
  <c r="K56" i="1"/>
  <c r="I56" i="1" s="1"/>
  <c r="J56" i="1" s="1"/>
  <c r="K60" i="1"/>
  <c r="I60" i="1" s="1"/>
  <c r="J60" i="1" s="1"/>
  <c r="K62" i="1"/>
  <c r="I62" i="1" s="1"/>
  <c r="J62" i="1" s="1"/>
  <c r="K64" i="1"/>
  <c r="I64" i="1" s="1"/>
  <c r="J64" i="1" s="1"/>
  <c r="K68" i="1"/>
  <c r="I68" i="1" s="1"/>
  <c r="J68" i="1" s="1"/>
  <c r="K70" i="1"/>
  <c r="I70" i="1" s="1"/>
  <c r="J70" i="1" s="1"/>
  <c r="K74" i="1"/>
  <c r="I74" i="1" s="1"/>
  <c r="J74" i="1" s="1"/>
  <c r="K76" i="1"/>
  <c r="I76" i="1" s="1"/>
  <c r="J76" i="1" s="1"/>
  <c r="K78" i="1"/>
  <c r="I78" i="1" s="1"/>
  <c r="J78" i="1" s="1"/>
  <c r="K80" i="1"/>
  <c r="I80" i="1" s="1"/>
  <c r="J80" i="1" s="1"/>
  <c r="K82" i="1"/>
  <c r="I82" i="1" s="1"/>
  <c r="J82" i="1" s="1"/>
  <c r="K84" i="1"/>
  <c r="I84" i="1" s="1"/>
  <c r="J84" i="1" s="1"/>
  <c r="K86" i="1"/>
  <c r="I86" i="1" s="1"/>
  <c r="J86" i="1" s="1"/>
  <c r="K88" i="1"/>
  <c r="I88" i="1" s="1"/>
  <c r="J88" i="1" s="1"/>
  <c r="I187" i="3" l="1"/>
  <c r="J187" i="3" s="1"/>
  <c r="J2" i="3"/>
  <c r="K91" i="2"/>
  <c r="I91" i="2" s="1"/>
  <c r="J91" i="2" s="1"/>
  <c r="K53" i="2"/>
  <c r="I53" i="2" s="1"/>
  <c r="J53" i="2" s="1"/>
  <c r="K10" i="2"/>
  <c r="I10" i="2" s="1"/>
  <c r="J10" i="2" s="1"/>
  <c r="K54" i="2"/>
  <c r="I54" i="2" s="1"/>
  <c r="J54" i="2" s="1"/>
  <c r="K65" i="2"/>
  <c r="I65" i="2" s="1"/>
  <c r="J65" i="2" s="1"/>
  <c r="K3" i="2"/>
  <c r="I3" i="2" s="1"/>
  <c r="J3" i="2" s="1"/>
  <c r="K60" i="2"/>
  <c r="I60" i="2" s="1"/>
  <c r="J60" i="2" s="1"/>
  <c r="K21" i="2"/>
  <c r="I21" i="2" s="1"/>
  <c r="J21" i="2" s="1"/>
  <c r="K12" i="2"/>
  <c r="I12" i="2" s="1"/>
  <c r="J12" i="2" s="1"/>
  <c r="K17" i="2"/>
  <c r="I17" i="2" s="1"/>
  <c r="J17" i="2" s="1"/>
  <c r="K61" i="2"/>
  <c r="I61" i="2" s="1"/>
  <c r="J61" i="2" s="1"/>
  <c r="K6" i="2"/>
  <c r="I6" i="2" s="1"/>
  <c r="J6" i="2" s="1"/>
  <c r="K89" i="2"/>
  <c r="I89" i="2" s="1"/>
  <c r="J89" i="2" s="1"/>
  <c r="K94" i="2"/>
  <c r="I94" i="2" s="1"/>
  <c r="J94" i="2" s="1"/>
  <c r="K36" i="2"/>
  <c r="I36" i="2" s="1"/>
  <c r="J36" i="2" s="1"/>
  <c r="K50" i="2"/>
  <c r="I50" i="2" s="1"/>
  <c r="J50" i="2" s="1"/>
  <c r="K32" i="2"/>
  <c r="I32" i="2" s="1"/>
  <c r="J32" i="2" s="1"/>
  <c r="K8" i="2"/>
  <c r="I8" i="2" s="1"/>
  <c r="J8" i="2" s="1"/>
  <c r="K28" i="2"/>
  <c r="I28" i="2" s="1"/>
  <c r="J28" i="2" s="1"/>
  <c r="K63" i="2"/>
  <c r="I63" i="2" s="1"/>
  <c r="J63" i="2" s="1"/>
  <c r="K46" i="2"/>
  <c r="I46" i="2" s="1"/>
  <c r="J46" i="2" s="1"/>
  <c r="K72" i="2"/>
  <c r="I72" i="2" s="1"/>
  <c r="J72" i="2" s="1"/>
  <c r="K30" i="2"/>
  <c r="I30" i="2" s="1"/>
  <c r="J30" i="2" s="1"/>
  <c r="K4" i="2"/>
  <c r="I4" i="2" s="1"/>
  <c r="J4" i="2" s="1"/>
  <c r="K87" i="2"/>
  <c r="I87" i="2" s="1"/>
  <c r="J87" i="2" s="1"/>
  <c r="K90" i="2"/>
  <c r="I90" i="2" s="1"/>
  <c r="J90" i="2" s="1"/>
  <c r="K41" i="2"/>
  <c r="I41" i="2" s="1"/>
  <c r="J41" i="2" s="1"/>
  <c r="K5" i="2"/>
  <c r="I5" i="2" s="1"/>
  <c r="J5" i="2" s="1"/>
  <c r="K40" i="2"/>
  <c r="I40" i="2" s="1"/>
  <c r="J40" i="2" s="1"/>
  <c r="K83" i="2"/>
  <c r="I83" i="2" s="1"/>
  <c r="J83" i="2" s="1"/>
  <c r="K84" i="2"/>
  <c r="I84" i="2" s="1"/>
  <c r="J84" i="2" s="1"/>
  <c r="K51" i="2"/>
  <c r="I51" i="2" s="1"/>
  <c r="J51" i="2" s="1"/>
  <c r="K80" i="2"/>
  <c r="I80" i="2" s="1"/>
  <c r="J80" i="2" s="1"/>
  <c r="K47" i="2"/>
  <c r="I47" i="2" s="1"/>
  <c r="J47" i="2" s="1"/>
  <c r="K76" i="2"/>
  <c r="I76" i="2" s="1"/>
  <c r="J76" i="2" s="1"/>
  <c r="K77" i="2"/>
  <c r="I77" i="2" s="1"/>
  <c r="J77" i="2" s="1"/>
  <c r="K34" i="2"/>
  <c r="I34" i="2" s="1"/>
  <c r="J34" i="2" s="1"/>
  <c r="K75" i="2"/>
  <c r="I75" i="2" s="1"/>
  <c r="J75" i="2" s="1"/>
  <c r="K70" i="2"/>
  <c r="I70" i="2" s="1"/>
  <c r="J70" i="2" s="1"/>
  <c r="K2" i="2"/>
  <c r="I2" i="2" s="1"/>
  <c r="J2" i="2" s="1"/>
  <c r="K15" i="2"/>
  <c r="I15" i="2" s="1"/>
  <c r="J15" i="2" s="1"/>
  <c r="K71" i="2"/>
  <c r="I71" i="2" s="1"/>
  <c r="J71" i="2" s="1"/>
  <c r="K35" i="2"/>
  <c r="I35" i="2" s="1"/>
  <c r="J35" i="2" s="1"/>
  <c r="K74" i="2"/>
  <c r="I74" i="2" s="1"/>
  <c r="J74" i="2" s="1"/>
  <c r="K26" i="2"/>
  <c r="I26" i="2" s="1"/>
  <c r="J26" i="2" s="1"/>
  <c r="K66" i="2"/>
  <c r="I66" i="2" s="1"/>
  <c r="J66" i="2" s="1"/>
  <c r="K16" i="2"/>
  <c r="I16" i="2" s="1"/>
  <c r="J16" i="2" s="1"/>
  <c r="K49" i="2"/>
  <c r="I49" i="2" s="1"/>
  <c r="J49" i="2" s="1"/>
  <c r="K11" i="2"/>
  <c r="I11" i="2" s="1"/>
  <c r="J11" i="2" s="1"/>
  <c r="K85" i="2"/>
  <c r="I85" i="2" s="1"/>
  <c r="J85" i="2" s="1"/>
  <c r="K48" i="2"/>
  <c r="I48" i="2" s="1"/>
  <c r="J48" i="2" s="1"/>
  <c r="K37" i="2"/>
  <c r="I37" i="2" s="1"/>
  <c r="J37" i="2" s="1"/>
  <c r="K13" i="2"/>
  <c r="I13" i="2" s="1"/>
  <c r="J13" i="2" s="1"/>
  <c r="K33" i="2"/>
  <c r="I33" i="2" s="1"/>
  <c r="J33" i="2" s="1"/>
  <c r="K92" i="2"/>
  <c r="I92" i="2" s="1"/>
  <c r="J92" i="2" s="1"/>
  <c r="K29" i="2"/>
  <c r="I29" i="2" s="1"/>
  <c r="J29" i="2" s="1"/>
  <c r="K86" i="2"/>
  <c r="I86" i="2" s="1"/>
  <c r="J86" i="2" s="1"/>
  <c r="K23" i="2"/>
  <c r="I23" i="2" s="1"/>
  <c r="J23" i="2" s="1"/>
  <c r="K43" i="2"/>
  <c r="I43" i="2" s="1"/>
  <c r="J43" i="2" s="1"/>
  <c r="K24" i="2"/>
  <c r="I24" i="2" s="1"/>
  <c r="J24" i="2" s="1"/>
  <c r="K7" i="2"/>
  <c r="I7" i="2" s="1"/>
  <c r="J7" i="2" s="1"/>
  <c r="K39" i="2"/>
  <c r="I39" i="2" s="1"/>
  <c r="J39" i="2" s="1"/>
  <c r="K20" i="2"/>
  <c r="I20" i="2" s="1"/>
  <c r="J20" i="2" s="1"/>
  <c r="K73" i="2"/>
  <c r="I73" i="2" s="1"/>
  <c r="J73" i="2" s="1"/>
  <c r="K9" i="2"/>
  <c r="I9" i="2" s="1"/>
  <c r="J9" i="2" s="1"/>
  <c r="K69" i="2"/>
  <c r="I69" i="2" s="1"/>
  <c r="J69" i="2" s="1"/>
  <c r="K31" i="2"/>
  <c r="I31" i="2" s="1"/>
  <c r="J31" i="2" s="1"/>
  <c r="K68" i="2"/>
  <c r="I68" i="2" s="1"/>
  <c r="J68" i="2" s="1"/>
  <c r="K22" i="2"/>
  <c r="I22" i="2" s="1"/>
  <c r="J22" i="2" s="1"/>
  <c r="K62" i="2"/>
  <c r="I62" i="2" s="1"/>
  <c r="J62" i="2" s="1"/>
  <c r="K14" i="2"/>
  <c r="I14" i="2" s="1"/>
  <c r="J14" i="2" s="1"/>
  <c r="K56" i="2"/>
  <c r="I56" i="2" s="1"/>
  <c r="J56" i="2" s="1"/>
  <c r="K45" i="2"/>
  <c r="I45" i="2" s="1"/>
  <c r="J45" i="2" s="1"/>
  <c r="K52" i="2"/>
  <c r="I52" i="2" s="1"/>
  <c r="J52" i="2" s="1"/>
  <c r="K57" i="2"/>
  <c r="I57" i="2" s="1"/>
  <c r="J57" i="2" s="1"/>
  <c r="K88" i="2"/>
  <c r="I88" i="2" s="1"/>
  <c r="J88" i="2" s="1"/>
  <c r="K55" i="2"/>
  <c r="I55" i="2" s="1"/>
  <c r="J55" i="2" s="1"/>
  <c r="K44" i="2"/>
  <c r="I44" i="2" s="1"/>
  <c r="J44" i="2" s="1"/>
  <c r="K81" i="2"/>
  <c r="I81" i="2" s="1"/>
  <c r="J81" i="2" s="1"/>
  <c r="K42" i="2"/>
  <c r="I42" i="2" s="1"/>
  <c r="J42" i="2" s="1"/>
  <c r="K79" i="2"/>
  <c r="I79" i="2" s="1"/>
  <c r="J79" i="2" s="1"/>
  <c r="K38" i="2"/>
  <c r="I38" i="2" s="1"/>
  <c r="J38" i="2" s="1"/>
  <c r="K25" i="2"/>
  <c r="I25" i="2" s="1"/>
  <c r="J25" i="2" s="1"/>
  <c r="K82" i="2"/>
  <c r="I82" i="2" s="1"/>
  <c r="J82" i="2" s="1"/>
  <c r="K19" i="2"/>
  <c r="I19" i="2" s="1"/>
  <c r="J19" i="2" s="1"/>
  <c r="K78" i="2"/>
  <c r="I78" i="2" s="1"/>
  <c r="J78" i="2" s="1"/>
  <c r="K59" i="2"/>
  <c r="I59" i="2" s="1"/>
  <c r="J59" i="2" s="1"/>
  <c r="K93" i="2"/>
  <c r="I93" i="2" s="1"/>
  <c r="J93" i="2" s="1"/>
  <c r="K67" i="2"/>
  <c r="I67" i="2" s="1"/>
  <c r="J67" i="2" s="1"/>
  <c r="K27" i="2"/>
  <c r="I27" i="2" s="1"/>
  <c r="J27" i="2" s="1"/>
  <c r="K64" i="2"/>
  <c r="I64" i="2" s="1"/>
  <c r="J64" i="2" s="1"/>
  <c r="K18" i="2"/>
  <c r="I18" i="2" s="1"/>
  <c r="J18" i="2" s="1"/>
  <c r="K58" i="2"/>
  <c r="I58" i="2" s="1"/>
  <c r="J58" i="2" s="1"/>
  <c r="N2" i="1"/>
  <c r="N3" i="1"/>
  <c r="N4" i="1"/>
  <c r="N2" i="3" l="1"/>
  <c r="N4" i="3"/>
  <c r="N3" i="3"/>
  <c r="N3" i="2"/>
  <c r="Q3" i="1" s="1"/>
  <c r="N2" i="2"/>
  <c r="Q2" i="1" s="1"/>
  <c r="N4" i="2"/>
  <c r="Q4" i="1" s="1"/>
  <c r="N5" i="1"/>
  <c r="N5" i="3" l="1"/>
  <c r="N5" i="2"/>
  <c r="Q5" i="1" s="1"/>
</calcChain>
</file>

<file path=xl/sharedStrings.xml><?xml version="1.0" encoding="utf-8"?>
<sst xmlns="http://schemas.openxmlformats.org/spreadsheetml/2006/main" count="455" uniqueCount="211">
  <si>
    <t>Helyezés</t>
  </si>
  <si>
    <t>Párt</t>
  </si>
  <si>
    <t>Osztó</t>
  </si>
  <si>
    <t>Hányados</t>
  </si>
  <si>
    <t>Mandátum</t>
  </si>
  <si>
    <t>TISZA</t>
  </si>
  <si>
    <t>Mi Hazánk</t>
  </si>
  <si>
    <t>FIDESZ-KDNP</t>
  </si>
  <si>
    <t>Szavazat / 2</t>
  </si>
  <si>
    <t>Szavazat / 3</t>
  </si>
  <si>
    <t>Összesen</t>
  </si>
  <si>
    <t>Szavazat / 4</t>
  </si>
  <si>
    <t>Szavazat / 5</t>
  </si>
  <si>
    <t>Szavazat / 6</t>
  </si>
  <si>
    <t>Szavazat / 7</t>
  </si>
  <si>
    <t>Szavazat / 8</t>
  </si>
  <si>
    <t>Szavazat / 9</t>
  </si>
  <si>
    <t>Szavazat / 10</t>
  </si>
  <si>
    <t>Szavazat / 11</t>
  </si>
  <si>
    <t>Szavazat / 12</t>
  </si>
  <si>
    <t>Szavazat / 13</t>
  </si>
  <si>
    <t>Szavazat / 14</t>
  </si>
  <si>
    <t>Szavazat / 15</t>
  </si>
  <si>
    <t>Szavazat / 16</t>
  </si>
  <si>
    <t>Szavazat / 17</t>
  </si>
  <si>
    <t>Szavazat / 18</t>
  </si>
  <si>
    <t>Szavazat / 19</t>
  </si>
  <si>
    <t>Szavazat / 20</t>
  </si>
  <si>
    <t>Szavazat / 21</t>
  </si>
  <si>
    <t>Szavazat / 22</t>
  </si>
  <si>
    <t>Szavazat / 23</t>
  </si>
  <si>
    <t>Szavazat / 24</t>
  </si>
  <si>
    <t>Szavazat / 25</t>
  </si>
  <si>
    <t>Szavazat / 26</t>
  </si>
  <si>
    <t>Szavazat / 27</t>
  </si>
  <si>
    <t>Szavazat / 28</t>
  </si>
  <si>
    <t>Szavazat / 29</t>
  </si>
  <si>
    <t>Szavazat / 30</t>
  </si>
  <si>
    <t>Szavazat / 31</t>
  </si>
  <si>
    <t>Szavazat / 32</t>
  </si>
  <si>
    <t>Szavazat / 33</t>
  </si>
  <si>
    <t>Szavazat / 34</t>
  </si>
  <si>
    <t>Szavazat / 35</t>
  </si>
  <si>
    <t>Szavazat / 36</t>
  </si>
  <si>
    <t>Szavazat / 37</t>
  </si>
  <si>
    <t>Szavazat / 38</t>
  </si>
  <si>
    <t>Szavazat / 39</t>
  </si>
  <si>
    <t>Szavazat / 40</t>
  </si>
  <si>
    <t>Szavazat / 41</t>
  </si>
  <si>
    <t>Szavazat / 42</t>
  </si>
  <si>
    <t>Szavazat / 43</t>
  </si>
  <si>
    <t>Szavazat / 44</t>
  </si>
  <si>
    <t>Szavazat / 45</t>
  </si>
  <si>
    <t>Szavazat / 46</t>
  </si>
  <si>
    <t>Szavazat / 47</t>
  </si>
  <si>
    <t>Szavazat / 48</t>
  </si>
  <si>
    <t>Szavazat / 49</t>
  </si>
  <si>
    <t>Szavazat / 50</t>
  </si>
  <si>
    <t>Szavazat / 51</t>
  </si>
  <si>
    <t>Szavazat / 52</t>
  </si>
  <si>
    <t>Szavazat / 53</t>
  </si>
  <si>
    <t>Szavazat / 54</t>
  </si>
  <si>
    <t>Szavazat / 55</t>
  </si>
  <si>
    <t>Szavazat / 56</t>
  </si>
  <si>
    <t>Szavazat / 57</t>
  </si>
  <si>
    <t>Szavazat / 58</t>
  </si>
  <si>
    <t>Szavazat / 59</t>
  </si>
  <si>
    <t>Szavazat / 60</t>
  </si>
  <si>
    <t>Szavazat / 61</t>
  </si>
  <si>
    <t>Szavazat / 62</t>
  </si>
  <si>
    <t>Szavazat / 63</t>
  </si>
  <si>
    <t>Szavazat / 64</t>
  </si>
  <si>
    <t>Szavazat / 65</t>
  </si>
  <si>
    <t>Szavazat / 66</t>
  </si>
  <si>
    <t>Szavazat / 67</t>
  </si>
  <si>
    <t>Szavazat / 68</t>
  </si>
  <si>
    <t>Szavazat / 69</t>
  </si>
  <si>
    <t>Szavazat / 70</t>
  </si>
  <si>
    <t>Szavazat / 71</t>
  </si>
  <si>
    <t>Szavazat / 72</t>
  </si>
  <si>
    <t>Szavazat / 73</t>
  </si>
  <si>
    <t>Szavazat / 74</t>
  </si>
  <si>
    <t>Szavazat / 75</t>
  </si>
  <si>
    <t>Szavazat / 76</t>
  </si>
  <si>
    <t>Szavazat / 77</t>
  </si>
  <si>
    <t>Szavazat / 78</t>
  </si>
  <si>
    <t>Szavazat / 79</t>
  </si>
  <si>
    <t>Szavazat / 80</t>
  </si>
  <si>
    <t>Szavazat / 81</t>
  </si>
  <si>
    <t>Szavazat / 82</t>
  </si>
  <si>
    <t>Szavazat / 83</t>
  </si>
  <si>
    <t>Szavazat / 84</t>
  </si>
  <si>
    <t>Szavazat / 85</t>
  </si>
  <si>
    <t>Szavazat / 86</t>
  </si>
  <si>
    <t>Szavazat / 87</t>
  </si>
  <si>
    <t>Szavazat / 88</t>
  </si>
  <si>
    <t>Szavazat / 89</t>
  </si>
  <si>
    <t>Szavazat / 90</t>
  </si>
  <si>
    <t>Szavazat / 91</t>
  </si>
  <si>
    <t>Szavazat / 92</t>
  </si>
  <si>
    <t>Szavazat / 93</t>
  </si>
  <si>
    <t>Szám</t>
  </si>
  <si>
    <t>Szavazat / 1</t>
  </si>
  <si>
    <t>Végeredmény</t>
  </si>
  <si>
    <t>Levélszavazatok nélkül</t>
  </si>
  <si>
    <t>Szavazat / 94</t>
  </si>
  <si>
    <t>Szavazat / 95</t>
  </si>
  <si>
    <t>Szavazat / 96</t>
  </si>
  <si>
    <t>Szavazat / 97</t>
  </si>
  <si>
    <t>Szavazat / 98</t>
  </si>
  <si>
    <t>Szavazat / 99</t>
  </si>
  <si>
    <t>Szavazat / 100</t>
  </si>
  <si>
    <t>Szavazat / 101</t>
  </si>
  <si>
    <t>Szavazat / 102</t>
  </si>
  <si>
    <t>Szavazat / 103</t>
  </si>
  <si>
    <t>Szavazat / 104</t>
  </si>
  <si>
    <t>Szavazat / 105</t>
  </si>
  <si>
    <t>Szavazat / 106</t>
  </si>
  <si>
    <t>Szavazat / 107</t>
  </si>
  <si>
    <t>Szavazat / 108</t>
  </si>
  <si>
    <t>Szavazat / 109</t>
  </si>
  <si>
    <t>Szavazat / 110</t>
  </si>
  <si>
    <t>Szavazat / 111</t>
  </si>
  <si>
    <t>Szavazat / 112</t>
  </si>
  <si>
    <t>Szavazat / 113</t>
  </si>
  <si>
    <t>Szavazat / 114</t>
  </si>
  <si>
    <t>Szavazat / 115</t>
  </si>
  <si>
    <t>Szavazat / 116</t>
  </si>
  <si>
    <t>Szavazat / 117</t>
  </si>
  <si>
    <t>Szavazat / 118</t>
  </si>
  <si>
    <t>Szavazat / 119</t>
  </si>
  <si>
    <t>Szavazat / 120</t>
  </si>
  <si>
    <t>Szavazat / 121</t>
  </si>
  <si>
    <t>Szavazat / 122</t>
  </si>
  <si>
    <t>Szavazat / 123</t>
  </si>
  <si>
    <t>Szavazat / 124</t>
  </si>
  <si>
    <t>Szavazat / 125</t>
  </si>
  <si>
    <t>Szavazat / 126</t>
  </si>
  <si>
    <t>Szavazat / 127</t>
  </si>
  <si>
    <t>Szavazat / 128</t>
  </si>
  <si>
    <t>Szavazat / 129</t>
  </si>
  <si>
    <t>Szavazat / 130</t>
  </si>
  <si>
    <t>Szavazat / 131</t>
  </si>
  <si>
    <t>Szavazat / 132</t>
  </si>
  <si>
    <t>Szavazat / 133</t>
  </si>
  <si>
    <t>Szavazat / 134</t>
  </si>
  <si>
    <t>Szavazat / 135</t>
  </si>
  <si>
    <t>Szavazat / 136</t>
  </si>
  <si>
    <t>Szavazat / 137</t>
  </si>
  <si>
    <t>Szavazat / 138</t>
  </si>
  <si>
    <t>Szavazat / 139</t>
  </si>
  <si>
    <t>Szavazat / 140</t>
  </si>
  <si>
    <t>Szavazat / 141</t>
  </si>
  <si>
    <t>Szavazat / 142</t>
  </si>
  <si>
    <t>Szavazat / 143</t>
  </si>
  <si>
    <t>Szavazat / 144</t>
  </si>
  <si>
    <t>Szavazat / 145</t>
  </si>
  <si>
    <t>Szavazat / 146</t>
  </si>
  <si>
    <t>Szavazat / 147</t>
  </si>
  <si>
    <t>Szavazat / 148</t>
  </si>
  <si>
    <t>Szavazat / 149</t>
  </si>
  <si>
    <t>Szavazat / 150</t>
  </si>
  <si>
    <t>Szavazat / 151</t>
  </si>
  <si>
    <t>Szavazat / 152</t>
  </si>
  <si>
    <t>Szavazat / 153</t>
  </si>
  <si>
    <t>Szavazat / 154</t>
  </si>
  <si>
    <t>Szavazat / 155</t>
  </si>
  <si>
    <t>Szavazat / 156</t>
  </si>
  <si>
    <t>Szavazat / 157</t>
  </si>
  <si>
    <t>Szavazat / 158</t>
  </si>
  <si>
    <t>Szavazat / 159</t>
  </si>
  <si>
    <t>Szavazat / 160</t>
  </si>
  <si>
    <t>Szavazat / 161</t>
  </si>
  <si>
    <t>Szavazat / 162</t>
  </si>
  <si>
    <t>Szavazat / 163</t>
  </si>
  <si>
    <t>Szavazat / 164</t>
  </si>
  <si>
    <t>Szavazat / 165</t>
  </si>
  <si>
    <t>Szavazat / 166</t>
  </si>
  <si>
    <t>Szavazat / 167</t>
  </si>
  <si>
    <t>Szavazat / 168</t>
  </si>
  <si>
    <t>Szavazat / 169</t>
  </si>
  <si>
    <t>Szavazat / 170</t>
  </si>
  <si>
    <t>Szavazat / 171</t>
  </si>
  <si>
    <t>Szavazat / 172</t>
  </si>
  <si>
    <t>Szavazat / 173</t>
  </si>
  <si>
    <t>Szavazat / 174</t>
  </si>
  <si>
    <t>Szavazat / 175</t>
  </si>
  <si>
    <t>Szavazat / 176</t>
  </si>
  <si>
    <t>Szavazat / 177</t>
  </si>
  <si>
    <t>Szavazat / 178</t>
  </si>
  <si>
    <t>Szavazat / 179</t>
  </si>
  <si>
    <t>Szavazat / 180</t>
  </si>
  <si>
    <t>Szavazat / 181</t>
  </si>
  <si>
    <t>Szavazat / 182</t>
  </si>
  <si>
    <t>Szavazat / 183</t>
  </si>
  <si>
    <t>Szavazat / 184</t>
  </si>
  <si>
    <t>Szavazat / 185</t>
  </si>
  <si>
    <t>Szavazat / 186</t>
  </si>
  <si>
    <t>Szavazat / 187</t>
  </si>
  <si>
    <t>Szavazat / 188</t>
  </si>
  <si>
    <t>Szavazat / 189</t>
  </si>
  <si>
    <t>Szavazat / 190</t>
  </si>
  <si>
    <t>Szavazat / 191</t>
  </si>
  <si>
    <t>Szavazat / 192</t>
  </si>
  <si>
    <t>Szavazat / 193</t>
  </si>
  <si>
    <t>Szavazat / 194</t>
  </si>
  <si>
    <t>Szavazat / 195</t>
  </si>
  <si>
    <t>Szavazat / 196</t>
  </si>
  <si>
    <t>Szavazat / 197</t>
  </si>
  <si>
    <t>Szavazat / 198</t>
  </si>
  <si>
    <t>Szavazat / 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</si>
</sst>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000000"/>
      <name val="Open Sans Regular"/>
    </font>
    <font>
      <sz val="14"/>
      <color theme="1"/>
      <name val="Open Sans Regular"/>
    </font>
    <font>
      <b/>
      <sz val="12"/>
      <name val="Aptos Narrow"/>
    </font>
    <font>
      <sz val="14"/>
      <color theme="1"/>
      <name val="Aptos Narrow (Body)"/>
    </font>
    <font>
      <b/>
      <sz val="14"/>
      <color rgb="FFFFFFFF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name val="Aptos Narrow (Body)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16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b/>
        <color rgb="FF006100"/>
      </font>
      <fill>
        <patternFill patternType="solid">
          <fgColor rgb="FFC6EFCE"/>
          <bgColor rgb="FFFFFF00"/>
        </patternFill>
      </fill>
    </dxf>
    <dxf>
      <font>
        <b/>
        <color rgb="FF006100"/>
      </font>
      <fill>
        <patternFill patternType="solid">
          <fgColor rgb="FFC6EFCE"/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b/>
        <color rgb="FF006100"/>
      </font>
      <fill>
        <patternFill patternType="solid">
          <fgColor rgb="FFC6EFCE"/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b/>
        <color rgb="FF006100"/>
      </font>
      <fill>
        <patternFill patternType="solid">
          <fgColor rgb="FFC6EFCE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Egyéni + Listás </a:t>
            </a:r>
            <a:r>
              <a:rPr lang="en-US" sz="2000" baseline="0"/>
              <a:t>szavazás (2026)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'V2026'!$N$15</c:f>
              <c:strCache>
                <c:ptCount val="1"/>
                <c:pt idx="0">
                  <c:v>Mandátum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E0-544D-9662-7E29773C0C4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E0-544D-9662-7E29773C0C4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E0-544D-9662-7E29773C0C42}"/>
              </c:ext>
            </c:extLst>
          </c:dPt>
          <c:dLbls>
            <c:dLbl>
              <c:idx val="0"/>
              <c:layout>
                <c:manualLayout>
                  <c:x val="-0.15714857273363572"/>
                  <c:y val="-0.1819894342170807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E0-544D-9662-7E29773C0C42}"/>
                </c:ext>
              </c:extLst>
            </c:dLbl>
            <c:dLbl>
              <c:idx val="1"/>
              <c:layout>
                <c:manualLayout>
                  <c:x val="4.7922525180184194E-2"/>
                  <c:y val="-1.54660659940933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E0-544D-9662-7E29773C0C42}"/>
                </c:ext>
              </c:extLst>
            </c:dLbl>
            <c:dLbl>
              <c:idx val="2"/>
              <c:layout>
                <c:manualLayout>
                  <c:x val="0.12383667484389144"/>
                  <c:y val="0.1716700979224857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E0-544D-9662-7E29773C0C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'V2026'!$M$16:$M$18</c:f>
              <c:strCache>
                <c:ptCount val="3"/>
                <c:pt idx="0">
                  <c:v>TISZA</c:v>
                </c:pt>
                <c:pt idx="1">
                  <c:v>Mi Hazánk</c:v>
                </c:pt>
                <c:pt idx="2">
                  <c:v>FIDESZ-KDNP</c:v>
                </c:pt>
              </c:strCache>
            </c:strRef>
          </c:cat>
          <c:val>
            <c:numRef>
              <c:f>'V2026'!$N$16:$N$18</c:f>
              <c:numCache>
                <c:formatCode>General</c:formatCode>
                <c:ptCount val="3"/>
                <c:pt idx="0">
                  <c:v>141</c:v>
                </c:pt>
                <c:pt idx="1">
                  <c:v>6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E0-544D-9662-7E29773C0C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06723932235744"/>
          <c:y val="0.32282334499854182"/>
          <c:w val="0.28662970253718284"/>
          <c:h val="0.36400627004957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Tisztán listás</a:t>
            </a:r>
            <a:r>
              <a:rPr lang="en-US" sz="2000" baseline="0"/>
              <a:t> szavazás esetén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'Tisztan-Lista'!$N$1</c:f>
              <c:strCache>
                <c:ptCount val="1"/>
                <c:pt idx="0">
                  <c:v>Mandátum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F3-4348-AC35-40FEA17422B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F3-4348-AC35-40FEA17422B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F3-4348-AC35-40FEA17422B5}"/>
              </c:ext>
            </c:extLst>
          </c:dPt>
          <c:dLbls>
            <c:dLbl>
              <c:idx val="0"/>
              <c:layout>
                <c:manualLayout>
                  <c:x val="-0.17356213826143949"/>
                  <c:y val="-4.1145283310174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F3-4348-AC35-40FEA17422B5}"/>
                </c:ext>
              </c:extLst>
            </c:dLbl>
            <c:dLbl>
              <c:idx val="1"/>
              <c:layout>
                <c:manualLayout>
                  <c:x val="5.9644053871929503E-2"/>
                  <c:y val="-0.117279295970356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F3-4348-AC35-40FEA1742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'Tisztan-Lista'!$M$2:$M$4</c:f>
              <c:strCache>
                <c:ptCount val="3"/>
                <c:pt idx="0">
                  <c:v>TISZA</c:v>
                </c:pt>
                <c:pt idx="1">
                  <c:v>Mi Hazánk</c:v>
                </c:pt>
                <c:pt idx="2">
                  <c:v>FIDESZ-KDNP</c:v>
                </c:pt>
              </c:strCache>
            </c:strRef>
          </c:cat>
          <c:val>
            <c:numRef>
              <c:f>'Tisztan-Lista'!$N$2:$N$4</c:f>
              <c:numCache>
                <c:formatCode>General</c:formatCode>
                <c:ptCount val="3"/>
                <c:pt idx="0">
                  <c:v>109</c:v>
                </c:pt>
                <c:pt idx="1">
                  <c:v>11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3-4348-AC35-40FEA17422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06723932235744"/>
          <c:y val="0.32282334499854182"/>
          <c:w val="0.28662970253718284"/>
          <c:h val="0.36400627004957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21</xdr:row>
      <xdr:rowOff>12700</xdr:rowOff>
    </xdr:from>
    <xdr:to>
      <xdr:col>17</xdr:col>
      <xdr:colOff>463550</xdr:colOff>
      <xdr:row>31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1E19F-5632-0A45-B0B9-5E497990C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387350</xdr:colOff>
      <xdr:row>6</xdr:row>
      <xdr:rowOff>292100</xdr:rowOff>
    </xdr:from>
    <xdr:to>
      <xdr:col>19</xdr:col>
      <xdr:colOff>88900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093E9-3D4C-03FB-FFF8-A2DC3FE0B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"/>
  <sheetViews>
    <sheetView tabSelected="1" topLeftCell="C14" zoomScaleNormal="100" workbookViewId="0">
      <selection activeCell="P18" sqref="P18"/>
    </sheetView>
  </sheetViews>
  <sheetFormatPr baseColWidth="10" defaultRowHeight="16"/>
  <cols>
    <col min="1" max="1" width="14" bestFit="1" customWidth="1"/>
    <col min="2" max="2" width="19.1640625" style="1" customWidth="1"/>
    <col min="3" max="4" width="19.1640625" customWidth="1"/>
    <col min="5" max="6" width="5" customWidth="1"/>
    <col min="7" max="7" width="2" customWidth="1"/>
    <col min="8" max="8" width="10" style="1" customWidth="1"/>
    <col min="9" max="9" width="18.6640625" customWidth="1"/>
    <col min="10" max="10" width="8" style="1" customWidth="1"/>
    <col min="11" max="11" width="14" style="1" customWidth="1"/>
    <col min="12" max="12" width="2" customWidth="1"/>
    <col min="13" max="13" width="14" customWidth="1"/>
    <col min="14" max="14" width="12.5" customWidth="1"/>
    <col min="15" max="15" width="5.1640625" customWidth="1"/>
    <col min="16" max="16" width="16.33203125" customWidth="1"/>
    <col min="17" max="17" width="17.1640625" customWidth="1"/>
  </cols>
  <sheetData>
    <row r="1" spans="1:17" ht="24" customHeight="1">
      <c r="A1" s="6" t="s">
        <v>101</v>
      </c>
      <c r="B1" s="6" t="s">
        <v>5</v>
      </c>
      <c r="C1" s="6" t="s">
        <v>6</v>
      </c>
      <c r="D1" s="6" t="s">
        <v>7</v>
      </c>
      <c r="E1" s="7"/>
      <c r="F1" s="7"/>
      <c r="G1" s="7"/>
      <c r="H1" s="8" t="s">
        <v>0</v>
      </c>
      <c r="I1" s="8" t="s">
        <v>1</v>
      </c>
      <c r="J1" s="8" t="s">
        <v>2</v>
      </c>
      <c r="K1" s="8" t="s">
        <v>3</v>
      </c>
      <c r="L1" s="7"/>
      <c r="M1" s="8" t="s">
        <v>1</v>
      </c>
      <c r="N1" s="8" t="s">
        <v>4</v>
      </c>
      <c r="O1" s="9"/>
      <c r="P1" s="8" t="s">
        <v>1</v>
      </c>
      <c r="Q1" s="8" t="s">
        <v>4</v>
      </c>
    </row>
    <row r="2" spans="1:17" ht="24" customHeight="1">
      <c r="A2" t="s">
        <v>102</v>
      </c>
      <c r="B2" s="2">
        <v>4750792</v>
      </c>
      <c r="C2" s="2">
        <v>703975</v>
      </c>
      <c r="D2" s="2">
        <v>4440234</v>
      </c>
      <c r="E2">
        <v>1</v>
      </c>
      <c r="H2" s="9">
        <v>1</v>
      </c>
      <c r="I2" s="10" t="str">
        <f t="shared" ref="I2:I33" si="0">IF(COUNTIF($B$2:$B$94,K2)&gt;0,"TISZA",IF(COUNTIF($C$2:$C$94,K2)&gt;0,"Mi Hazánk","FIDESZ-KDNP"))</f>
        <v>TISZA</v>
      </c>
      <c r="J2" s="11">
        <f t="shared" ref="J2:J33" si="1">IF(I2="TISZA",$B$2/K2,IF(I2="Mi Hazánk",$C$2/K2,$D$2/K2))</f>
        <v>1</v>
      </c>
      <c r="K2" s="12">
        <f t="shared" ref="K2:K33" si="2">LARGE($B$2:$D$94,H2)</f>
        <v>4750792</v>
      </c>
      <c r="M2" t="s">
        <v>5</v>
      </c>
      <c r="N2" s="16">
        <f>COUNTIF($I$2:$I$94,M2)</f>
        <v>45</v>
      </c>
      <c r="P2" t="s">
        <v>5</v>
      </c>
      <c r="Q2" s="14">
        <f>'Level-Nelkul'!N2</f>
        <v>46</v>
      </c>
    </row>
    <row r="3" spans="1:17" ht="24" customHeight="1">
      <c r="A3" t="s">
        <v>8</v>
      </c>
      <c r="B3" s="3">
        <f t="shared" ref="B3:D22" si="3">B$2/$E3</f>
        <v>2375396</v>
      </c>
      <c r="C3" s="3">
        <f t="shared" si="3"/>
        <v>351987.5</v>
      </c>
      <c r="D3" s="3">
        <f t="shared" si="3"/>
        <v>2220117</v>
      </c>
      <c r="E3">
        <v>2</v>
      </c>
      <c r="H3" s="9">
        <v>2</v>
      </c>
      <c r="I3" s="10" t="str">
        <f t="shared" si="0"/>
        <v>FIDESZ-KDNP</v>
      </c>
      <c r="J3" s="11">
        <f t="shared" si="1"/>
        <v>1</v>
      </c>
      <c r="K3" s="12">
        <f t="shared" si="2"/>
        <v>4440234</v>
      </c>
      <c r="M3" t="s">
        <v>6</v>
      </c>
      <c r="N3" s="16">
        <f>COUNTIF($I$2:$I$94,M3)</f>
        <v>6</v>
      </c>
      <c r="P3" t="s">
        <v>6</v>
      </c>
      <c r="Q3" s="14">
        <f>'Level-Nelkul'!N3</f>
        <v>6</v>
      </c>
    </row>
    <row r="4" spans="1:17" ht="24" customHeight="1">
      <c r="A4" t="s">
        <v>9</v>
      </c>
      <c r="B4" s="3">
        <f t="shared" si="3"/>
        <v>1583597.3333333333</v>
      </c>
      <c r="C4" s="3">
        <f t="shared" si="3"/>
        <v>234658.33333333334</v>
      </c>
      <c r="D4" s="3">
        <f t="shared" si="3"/>
        <v>1480078</v>
      </c>
      <c r="E4">
        <v>3</v>
      </c>
      <c r="H4" s="9">
        <v>3</v>
      </c>
      <c r="I4" s="10" t="str">
        <f t="shared" si="0"/>
        <v>TISZA</v>
      </c>
      <c r="J4" s="11">
        <f t="shared" si="1"/>
        <v>2</v>
      </c>
      <c r="K4" s="12">
        <f t="shared" si="2"/>
        <v>2375396</v>
      </c>
      <c r="M4" t="s">
        <v>7</v>
      </c>
      <c r="N4" s="16">
        <f>COUNTIF($I$2:$I$94,M4)</f>
        <v>42</v>
      </c>
      <c r="P4" t="s">
        <v>7</v>
      </c>
      <c r="Q4" s="14">
        <f>'Level-Nelkul'!N4</f>
        <v>41</v>
      </c>
    </row>
    <row r="5" spans="1:17" ht="24" customHeight="1">
      <c r="A5" t="s">
        <v>11</v>
      </c>
      <c r="B5" s="3">
        <f t="shared" si="3"/>
        <v>1187698</v>
      </c>
      <c r="C5" s="3">
        <f t="shared" si="3"/>
        <v>175993.75</v>
      </c>
      <c r="D5" s="3">
        <f t="shared" si="3"/>
        <v>1110058.5</v>
      </c>
      <c r="E5">
        <v>4</v>
      </c>
      <c r="H5" s="9">
        <v>4</v>
      </c>
      <c r="I5" s="10" t="str">
        <f t="shared" si="0"/>
        <v>FIDESZ-KDNP</v>
      </c>
      <c r="J5" s="11">
        <f t="shared" si="1"/>
        <v>2</v>
      </c>
      <c r="K5" s="12">
        <f t="shared" si="2"/>
        <v>2220117</v>
      </c>
      <c r="M5" s="4" t="s">
        <v>10</v>
      </c>
      <c r="N5" s="17">
        <f>SUM(N2:N4)</f>
        <v>93</v>
      </c>
      <c r="P5" s="13" t="s">
        <v>10</v>
      </c>
      <c r="Q5" s="15">
        <f>'Level-Nelkul'!N5</f>
        <v>93</v>
      </c>
    </row>
    <row r="6" spans="1:17" ht="24" customHeight="1">
      <c r="A6" t="s">
        <v>12</v>
      </c>
      <c r="B6" s="3">
        <f t="shared" si="3"/>
        <v>950158.4</v>
      </c>
      <c r="C6" s="3">
        <f t="shared" si="3"/>
        <v>140795</v>
      </c>
      <c r="D6" s="3">
        <f t="shared" si="3"/>
        <v>888046.8</v>
      </c>
      <c r="E6">
        <v>5</v>
      </c>
      <c r="H6" s="9">
        <v>5</v>
      </c>
      <c r="I6" s="10" t="str">
        <f t="shared" si="0"/>
        <v>TISZA</v>
      </c>
      <c r="J6" s="11">
        <f t="shared" si="1"/>
        <v>3</v>
      </c>
      <c r="K6" s="12">
        <f t="shared" si="2"/>
        <v>1583597.3333333333</v>
      </c>
      <c r="M6" s="20" t="s">
        <v>103</v>
      </c>
      <c r="N6" s="20"/>
      <c r="O6" s="18"/>
      <c r="P6" s="20" t="s">
        <v>104</v>
      </c>
      <c r="Q6" s="20"/>
    </row>
    <row r="7" spans="1:17" ht="24" customHeight="1">
      <c r="A7" t="s">
        <v>13</v>
      </c>
      <c r="B7" s="3">
        <f t="shared" si="3"/>
        <v>791798.66666666663</v>
      </c>
      <c r="C7" s="3">
        <f t="shared" si="3"/>
        <v>117329.16666666667</v>
      </c>
      <c r="D7" s="3">
        <f t="shared" si="3"/>
        <v>740039</v>
      </c>
      <c r="E7">
        <v>6</v>
      </c>
      <c r="H7" s="9">
        <v>6</v>
      </c>
      <c r="I7" s="10" t="str">
        <f t="shared" si="0"/>
        <v>FIDESZ-KDNP</v>
      </c>
      <c r="J7" s="11">
        <f t="shared" si="1"/>
        <v>3</v>
      </c>
      <c r="K7" s="12">
        <f t="shared" si="2"/>
        <v>1480078</v>
      </c>
    </row>
    <row r="8" spans="1:17" ht="24" customHeight="1">
      <c r="A8" t="s">
        <v>14</v>
      </c>
      <c r="B8" s="3">
        <f t="shared" si="3"/>
        <v>678684.57142857148</v>
      </c>
      <c r="C8" s="3">
        <f t="shared" si="3"/>
        <v>100567.85714285714</v>
      </c>
      <c r="D8" s="3">
        <f t="shared" si="3"/>
        <v>634319.14285714284</v>
      </c>
      <c r="E8">
        <v>7</v>
      </c>
      <c r="H8" s="9">
        <v>7</v>
      </c>
      <c r="I8" s="10" t="str">
        <f t="shared" si="0"/>
        <v>TISZA</v>
      </c>
      <c r="J8" s="11">
        <f t="shared" si="1"/>
        <v>4</v>
      </c>
      <c r="K8" s="12">
        <f t="shared" si="2"/>
        <v>1187698</v>
      </c>
      <c r="M8" s="6" t="s">
        <v>101</v>
      </c>
      <c r="N8" s="6" t="s">
        <v>5</v>
      </c>
      <c r="O8" s="21" t="s">
        <v>6</v>
      </c>
      <c r="P8" s="21"/>
      <c r="Q8" s="6" t="s">
        <v>7</v>
      </c>
    </row>
    <row r="9" spans="1:17" ht="24" customHeight="1">
      <c r="A9" t="s">
        <v>15</v>
      </c>
      <c r="B9" s="3">
        <f t="shared" si="3"/>
        <v>593849</v>
      </c>
      <c r="C9" s="3">
        <f t="shared" si="3"/>
        <v>87996.875</v>
      </c>
      <c r="D9" s="3">
        <f t="shared" si="3"/>
        <v>555029.25</v>
      </c>
      <c r="E9">
        <v>8</v>
      </c>
      <c r="H9" s="9">
        <v>8</v>
      </c>
      <c r="I9" s="10" t="str">
        <f t="shared" si="0"/>
        <v>FIDESZ-KDNP</v>
      </c>
      <c r="J9" s="11">
        <f t="shared" si="1"/>
        <v>4</v>
      </c>
      <c r="K9" s="12">
        <f t="shared" si="2"/>
        <v>1110058.5</v>
      </c>
      <c r="M9" t="s">
        <v>102</v>
      </c>
      <c r="N9" s="2">
        <f>B2</f>
        <v>4750792</v>
      </c>
      <c r="O9" s="22">
        <f>C2</f>
        <v>703975</v>
      </c>
      <c r="P9" s="22"/>
      <c r="Q9" s="2">
        <f>D2</f>
        <v>4440234</v>
      </c>
    </row>
    <row r="10" spans="1:17" ht="24" customHeight="1">
      <c r="A10" t="s">
        <v>16</v>
      </c>
      <c r="B10" s="3">
        <f t="shared" si="3"/>
        <v>527865.77777777775</v>
      </c>
      <c r="C10" s="3">
        <f t="shared" si="3"/>
        <v>78219.444444444438</v>
      </c>
      <c r="D10" s="3">
        <f t="shared" si="3"/>
        <v>493359.33333333331</v>
      </c>
      <c r="E10">
        <v>9</v>
      </c>
      <c r="H10" s="9">
        <v>9</v>
      </c>
      <c r="I10" s="10" t="str">
        <f t="shared" si="0"/>
        <v>TISZA</v>
      </c>
      <c r="J10" s="11">
        <f t="shared" si="1"/>
        <v>5</v>
      </c>
      <c r="K10" s="12">
        <f t="shared" si="2"/>
        <v>950158.4</v>
      </c>
      <c r="M10" s="19" t="s">
        <v>103</v>
      </c>
      <c r="N10" s="19"/>
      <c r="O10" s="19"/>
      <c r="P10" s="19"/>
      <c r="Q10" s="19"/>
    </row>
    <row r="11" spans="1:17" ht="24" customHeight="1">
      <c r="A11" t="s">
        <v>17</v>
      </c>
      <c r="B11" s="3">
        <f t="shared" si="3"/>
        <v>475079.2</v>
      </c>
      <c r="C11" s="3">
        <f t="shared" si="3"/>
        <v>70397.5</v>
      </c>
      <c r="D11" s="3">
        <f t="shared" si="3"/>
        <v>444023.4</v>
      </c>
      <c r="E11">
        <v>10</v>
      </c>
      <c r="H11" s="9">
        <v>10</v>
      </c>
      <c r="I11" s="10" t="str">
        <f t="shared" si="0"/>
        <v>FIDESZ-KDNP</v>
      </c>
      <c r="J11" s="11">
        <f t="shared" si="1"/>
        <v>5</v>
      </c>
      <c r="K11" s="12">
        <f t="shared" si="2"/>
        <v>888046.8</v>
      </c>
      <c r="M11" s="6" t="s">
        <v>101</v>
      </c>
      <c r="N11" s="6" t="s">
        <v>5</v>
      </c>
      <c r="O11" s="21" t="s">
        <v>6</v>
      </c>
      <c r="P11" s="21"/>
      <c r="Q11" s="6" t="s">
        <v>7</v>
      </c>
    </row>
    <row r="12" spans="1:17" ht="24" customHeight="1">
      <c r="A12" t="s">
        <v>18</v>
      </c>
      <c r="B12" s="3">
        <f t="shared" si="3"/>
        <v>431890.18181818182</v>
      </c>
      <c r="C12" s="3">
        <f t="shared" si="3"/>
        <v>63997.727272727272</v>
      </c>
      <c r="D12" s="3">
        <f t="shared" si="3"/>
        <v>403657.63636363635</v>
      </c>
      <c r="E12">
        <v>11</v>
      </c>
      <c r="H12" s="9">
        <v>11</v>
      </c>
      <c r="I12" s="10" t="str">
        <f t="shared" si="0"/>
        <v>TISZA</v>
      </c>
      <c r="J12" s="11">
        <f t="shared" si="1"/>
        <v>6</v>
      </c>
      <c r="K12" s="12">
        <f t="shared" si="2"/>
        <v>791798.66666666663</v>
      </c>
      <c r="M12" t="s">
        <v>102</v>
      </c>
      <c r="N12" s="2">
        <f>'Level-Nelkul'!B2</f>
        <v>4704310</v>
      </c>
      <c r="O12" s="22">
        <f>'Level-Nelkul'!C2</f>
        <v>698765</v>
      </c>
      <c r="P12" s="22"/>
      <c r="Q12" s="2">
        <f>'Level-Nelkul'!D2</f>
        <v>4158206</v>
      </c>
    </row>
    <row r="13" spans="1:17" ht="24" customHeight="1">
      <c r="A13" t="s">
        <v>19</v>
      </c>
      <c r="B13" s="3">
        <f t="shared" si="3"/>
        <v>395899.33333333331</v>
      </c>
      <c r="C13" s="3">
        <f t="shared" si="3"/>
        <v>58664.583333333336</v>
      </c>
      <c r="D13" s="3">
        <f t="shared" si="3"/>
        <v>370019.5</v>
      </c>
      <c r="E13">
        <v>12</v>
      </c>
      <c r="H13" s="9">
        <v>12</v>
      </c>
      <c r="I13" s="10" t="str">
        <f t="shared" si="0"/>
        <v>FIDESZ-KDNP</v>
      </c>
      <c r="J13" s="11">
        <f t="shared" si="1"/>
        <v>6</v>
      </c>
      <c r="K13" s="12">
        <f t="shared" si="2"/>
        <v>740039</v>
      </c>
      <c r="M13" s="19" t="s">
        <v>104</v>
      </c>
      <c r="N13" s="19"/>
      <c r="O13" s="19"/>
      <c r="P13" s="19"/>
      <c r="Q13" s="19"/>
    </row>
    <row r="14" spans="1:17" ht="24" customHeight="1">
      <c r="A14" t="s">
        <v>20</v>
      </c>
      <c r="B14" s="3">
        <f t="shared" si="3"/>
        <v>365445.53846153844</v>
      </c>
      <c r="C14" s="3">
        <f t="shared" si="3"/>
        <v>54151.923076923078</v>
      </c>
      <c r="D14" s="3">
        <f t="shared" si="3"/>
        <v>341556.46153846156</v>
      </c>
      <c r="E14">
        <v>13</v>
      </c>
      <c r="H14" s="9">
        <v>13</v>
      </c>
      <c r="I14" s="10" t="str">
        <f t="shared" si="0"/>
        <v>Mi Hazánk</v>
      </c>
      <c r="J14" s="11">
        <f t="shared" si="1"/>
        <v>1</v>
      </c>
      <c r="K14" s="12">
        <f t="shared" si="2"/>
        <v>703975</v>
      </c>
    </row>
    <row r="15" spans="1:17" ht="24" customHeight="1">
      <c r="A15" t="s">
        <v>21</v>
      </c>
      <c r="B15" s="3">
        <f t="shared" si="3"/>
        <v>339342.28571428574</v>
      </c>
      <c r="C15" s="3">
        <f t="shared" si="3"/>
        <v>50283.928571428572</v>
      </c>
      <c r="D15" s="3">
        <f t="shared" si="3"/>
        <v>317159.57142857142</v>
      </c>
      <c r="E15">
        <v>14</v>
      </c>
      <c r="H15" s="9">
        <v>14</v>
      </c>
      <c r="I15" s="10" t="str">
        <f t="shared" si="0"/>
        <v>TISZA</v>
      </c>
      <c r="J15" s="11">
        <f t="shared" si="1"/>
        <v>6.9999999999999991</v>
      </c>
      <c r="K15" s="12">
        <f t="shared" si="2"/>
        <v>678684.57142857148</v>
      </c>
      <c r="M15" s="8" t="s">
        <v>1</v>
      </c>
      <c r="N15" s="8" t="s">
        <v>4</v>
      </c>
    </row>
    <row r="16" spans="1:17" ht="24" customHeight="1">
      <c r="A16" t="s">
        <v>22</v>
      </c>
      <c r="B16" s="3">
        <f t="shared" si="3"/>
        <v>316719.46666666667</v>
      </c>
      <c r="C16" s="3">
        <f t="shared" si="3"/>
        <v>46931.666666666664</v>
      </c>
      <c r="D16" s="3">
        <f t="shared" si="3"/>
        <v>296015.59999999998</v>
      </c>
      <c r="E16">
        <v>15</v>
      </c>
      <c r="H16" s="9">
        <v>15</v>
      </c>
      <c r="I16" s="10" t="str">
        <f t="shared" si="0"/>
        <v>FIDESZ-KDNP</v>
      </c>
      <c r="J16" s="11">
        <f t="shared" si="1"/>
        <v>7</v>
      </c>
      <c r="K16" s="12">
        <f t="shared" si="2"/>
        <v>634319.14285714284</v>
      </c>
      <c r="M16" t="s">
        <v>5</v>
      </c>
      <c r="N16" s="16">
        <v>141</v>
      </c>
    </row>
    <row r="17" spans="1:14" ht="24" customHeight="1">
      <c r="A17" t="s">
        <v>23</v>
      </c>
      <c r="B17" s="3">
        <f t="shared" si="3"/>
        <v>296924.5</v>
      </c>
      <c r="C17" s="3">
        <f t="shared" si="3"/>
        <v>43998.4375</v>
      </c>
      <c r="D17" s="3">
        <f t="shared" si="3"/>
        <v>277514.625</v>
      </c>
      <c r="E17">
        <v>16</v>
      </c>
      <c r="H17" s="9">
        <v>16</v>
      </c>
      <c r="I17" s="10" t="str">
        <f t="shared" si="0"/>
        <v>TISZA</v>
      </c>
      <c r="J17" s="11">
        <f t="shared" si="1"/>
        <v>8</v>
      </c>
      <c r="K17" s="12">
        <f t="shared" si="2"/>
        <v>593849</v>
      </c>
      <c r="M17" t="s">
        <v>6</v>
      </c>
      <c r="N17" s="16">
        <v>6</v>
      </c>
    </row>
    <row r="18" spans="1:14" ht="24" customHeight="1">
      <c r="A18" t="s">
        <v>24</v>
      </c>
      <c r="B18" s="3">
        <f t="shared" si="3"/>
        <v>279458.35294117645</v>
      </c>
      <c r="C18" s="3">
        <f t="shared" si="3"/>
        <v>41410.294117647056</v>
      </c>
      <c r="D18" s="3">
        <f t="shared" si="3"/>
        <v>261190.23529411765</v>
      </c>
      <c r="E18">
        <v>17</v>
      </c>
      <c r="H18" s="9">
        <v>17</v>
      </c>
      <c r="I18" s="10" t="str">
        <f t="shared" si="0"/>
        <v>FIDESZ-KDNP</v>
      </c>
      <c r="J18" s="11">
        <f t="shared" si="1"/>
        <v>8</v>
      </c>
      <c r="K18" s="12">
        <f t="shared" si="2"/>
        <v>555029.25</v>
      </c>
      <c r="M18" t="s">
        <v>7</v>
      </c>
      <c r="N18" s="16">
        <v>52</v>
      </c>
    </row>
    <row r="19" spans="1:14" ht="24" customHeight="1">
      <c r="A19" t="s">
        <v>25</v>
      </c>
      <c r="B19" s="3">
        <f t="shared" si="3"/>
        <v>263932.88888888888</v>
      </c>
      <c r="C19" s="3">
        <f t="shared" si="3"/>
        <v>39109.722222222219</v>
      </c>
      <c r="D19" s="3">
        <f t="shared" si="3"/>
        <v>246679.66666666666</v>
      </c>
      <c r="E19">
        <v>18</v>
      </c>
      <c r="H19" s="9">
        <v>18</v>
      </c>
      <c r="I19" s="10" t="str">
        <f t="shared" si="0"/>
        <v>TISZA</v>
      </c>
      <c r="J19" s="11">
        <f t="shared" si="1"/>
        <v>9</v>
      </c>
      <c r="K19" s="12">
        <f t="shared" si="2"/>
        <v>527865.77777777775</v>
      </c>
      <c r="M19" s="4" t="s">
        <v>10</v>
      </c>
      <c r="N19" s="17">
        <f>SUM(N16:N18)</f>
        <v>199</v>
      </c>
    </row>
    <row r="20" spans="1:14" ht="24" customHeight="1">
      <c r="A20" t="s">
        <v>26</v>
      </c>
      <c r="B20" s="3">
        <f t="shared" si="3"/>
        <v>250041.68421052632</v>
      </c>
      <c r="C20" s="3">
        <f t="shared" si="3"/>
        <v>37051.315789473687</v>
      </c>
      <c r="D20" s="3">
        <f t="shared" si="3"/>
        <v>233696.52631578947</v>
      </c>
      <c r="E20">
        <v>19</v>
      </c>
      <c r="H20" s="9">
        <v>19</v>
      </c>
      <c r="I20" s="10" t="str">
        <f t="shared" si="0"/>
        <v>FIDESZ-KDNP</v>
      </c>
      <c r="J20" s="11">
        <f t="shared" si="1"/>
        <v>9</v>
      </c>
      <c r="K20" s="12">
        <f t="shared" si="2"/>
        <v>493359.33333333331</v>
      </c>
      <c r="M20" s="20" t="s">
        <v>103</v>
      </c>
      <c r="N20" s="20"/>
    </row>
    <row r="21" spans="1:14" ht="24" customHeight="1">
      <c r="A21" t="s">
        <v>27</v>
      </c>
      <c r="B21" s="3">
        <f t="shared" si="3"/>
        <v>237539.6</v>
      </c>
      <c r="C21" s="3">
        <f t="shared" si="3"/>
        <v>35198.75</v>
      </c>
      <c r="D21" s="3">
        <f t="shared" si="3"/>
        <v>222011.7</v>
      </c>
      <c r="E21">
        <v>20</v>
      </c>
      <c r="H21" s="9">
        <v>20</v>
      </c>
      <c r="I21" s="10" t="str">
        <f t="shared" si="0"/>
        <v>TISZA</v>
      </c>
      <c r="J21" s="11">
        <f t="shared" si="1"/>
        <v>10</v>
      </c>
      <c r="K21" s="12">
        <f t="shared" si="2"/>
        <v>475079.2</v>
      </c>
    </row>
    <row r="22" spans="1:14" ht="24" customHeight="1">
      <c r="A22" t="s">
        <v>28</v>
      </c>
      <c r="B22" s="3">
        <f t="shared" si="3"/>
        <v>226228.19047619047</v>
      </c>
      <c r="C22" s="3">
        <f t="shared" si="3"/>
        <v>33522.619047619046</v>
      </c>
      <c r="D22" s="3">
        <f t="shared" si="3"/>
        <v>211439.71428571429</v>
      </c>
      <c r="E22">
        <v>21</v>
      </c>
      <c r="H22" s="9">
        <v>21</v>
      </c>
      <c r="I22" s="10" t="str">
        <f t="shared" si="0"/>
        <v>FIDESZ-KDNP</v>
      </c>
      <c r="J22" s="11">
        <f t="shared" si="1"/>
        <v>10</v>
      </c>
      <c r="K22" s="12">
        <f t="shared" si="2"/>
        <v>444023.4</v>
      </c>
    </row>
    <row r="23" spans="1:14" ht="24" customHeight="1">
      <c r="A23" t="s">
        <v>29</v>
      </c>
      <c r="B23" s="3">
        <f t="shared" ref="B23:D42" si="4">B$2/$E23</f>
        <v>215945.09090909091</v>
      </c>
      <c r="C23" s="3">
        <f t="shared" si="4"/>
        <v>31998.863636363636</v>
      </c>
      <c r="D23" s="3">
        <f t="shared" si="4"/>
        <v>201828.81818181818</v>
      </c>
      <c r="E23">
        <v>22</v>
      </c>
      <c r="H23" s="9">
        <v>22</v>
      </c>
      <c r="I23" s="10" t="str">
        <f t="shared" si="0"/>
        <v>TISZA</v>
      </c>
      <c r="J23" s="11">
        <f t="shared" si="1"/>
        <v>11</v>
      </c>
      <c r="K23" s="12">
        <f t="shared" si="2"/>
        <v>431890.18181818182</v>
      </c>
    </row>
    <row r="24" spans="1:14" ht="24" customHeight="1">
      <c r="A24" t="s">
        <v>30</v>
      </c>
      <c r="B24" s="3">
        <f t="shared" si="4"/>
        <v>206556.17391304349</v>
      </c>
      <c r="C24" s="3">
        <f t="shared" si="4"/>
        <v>30607.608695652172</v>
      </c>
      <c r="D24" s="3">
        <f t="shared" si="4"/>
        <v>193053.65217391305</v>
      </c>
      <c r="E24">
        <v>23</v>
      </c>
      <c r="H24" s="9">
        <v>23</v>
      </c>
      <c r="I24" s="10" t="str">
        <f t="shared" si="0"/>
        <v>FIDESZ-KDNP</v>
      </c>
      <c r="J24" s="11">
        <f t="shared" si="1"/>
        <v>11</v>
      </c>
      <c r="K24" s="12">
        <f t="shared" si="2"/>
        <v>403657.63636363635</v>
      </c>
    </row>
    <row r="25" spans="1:14" ht="24" customHeight="1">
      <c r="A25" t="s">
        <v>31</v>
      </c>
      <c r="B25" s="3">
        <f t="shared" si="4"/>
        <v>197949.66666666666</v>
      </c>
      <c r="C25" s="3">
        <f t="shared" si="4"/>
        <v>29332.291666666668</v>
      </c>
      <c r="D25" s="3">
        <f t="shared" si="4"/>
        <v>185009.75</v>
      </c>
      <c r="E25">
        <v>24</v>
      </c>
      <c r="H25" s="9">
        <v>24</v>
      </c>
      <c r="I25" s="10" t="str">
        <f t="shared" si="0"/>
        <v>TISZA</v>
      </c>
      <c r="J25" s="11">
        <f t="shared" si="1"/>
        <v>12</v>
      </c>
      <c r="K25" s="12">
        <f t="shared" si="2"/>
        <v>395899.33333333331</v>
      </c>
    </row>
    <row r="26" spans="1:14" ht="24" customHeight="1">
      <c r="A26" t="s">
        <v>32</v>
      </c>
      <c r="B26" s="3">
        <f t="shared" si="4"/>
        <v>190031.68</v>
      </c>
      <c r="C26" s="3">
        <f t="shared" si="4"/>
        <v>28159</v>
      </c>
      <c r="D26" s="3">
        <f t="shared" si="4"/>
        <v>177609.36</v>
      </c>
      <c r="E26">
        <v>25</v>
      </c>
      <c r="H26" s="9">
        <v>25</v>
      </c>
      <c r="I26" s="10" t="str">
        <f t="shared" si="0"/>
        <v>FIDESZ-KDNP</v>
      </c>
      <c r="J26" s="11">
        <f t="shared" si="1"/>
        <v>12</v>
      </c>
      <c r="K26" s="12">
        <f t="shared" si="2"/>
        <v>370019.5</v>
      </c>
    </row>
    <row r="27" spans="1:14" ht="24" customHeight="1">
      <c r="A27" t="s">
        <v>33</v>
      </c>
      <c r="B27" s="3">
        <f t="shared" si="4"/>
        <v>182722.76923076922</v>
      </c>
      <c r="C27" s="3">
        <f t="shared" si="4"/>
        <v>27075.961538461539</v>
      </c>
      <c r="D27" s="3">
        <f t="shared" si="4"/>
        <v>170778.23076923078</v>
      </c>
      <c r="E27">
        <v>26</v>
      </c>
      <c r="H27" s="9">
        <v>26</v>
      </c>
      <c r="I27" s="10" t="str">
        <f t="shared" si="0"/>
        <v>TISZA</v>
      </c>
      <c r="J27" s="11">
        <f t="shared" si="1"/>
        <v>13</v>
      </c>
      <c r="K27" s="12">
        <f t="shared" si="2"/>
        <v>365445.53846153844</v>
      </c>
    </row>
    <row r="28" spans="1:14" ht="24" customHeight="1">
      <c r="A28" t="s">
        <v>34</v>
      </c>
      <c r="B28" s="3">
        <f t="shared" si="4"/>
        <v>175955.25925925927</v>
      </c>
      <c r="C28" s="3">
        <f t="shared" si="4"/>
        <v>26073.14814814815</v>
      </c>
      <c r="D28" s="3">
        <f t="shared" si="4"/>
        <v>164453.11111111112</v>
      </c>
      <c r="E28">
        <v>27</v>
      </c>
      <c r="H28" s="9">
        <v>27</v>
      </c>
      <c r="I28" s="10" t="str">
        <f t="shared" si="0"/>
        <v>Mi Hazánk</v>
      </c>
      <c r="J28" s="11">
        <f t="shared" si="1"/>
        <v>2</v>
      </c>
      <c r="K28" s="12">
        <f t="shared" si="2"/>
        <v>351987.5</v>
      </c>
    </row>
    <row r="29" spans="1:14" ht="24" customHeight="1">
      <c r="A29" t="s">
        <v>35</v>
      </c>
      <c r="B29" s="3">
        <f t="shared" si="4"/>
        <v>169671.14285714287</v>
      </c>
      <c r="C29" s="3">
        <f t="shared" si="4"/>
        <v>25141.964285714286</v>
      </c>
      <c r="D29" s="3">
        <f t="shared" si="4"/>
        <v>158579.78571428571</v>
      </c>
      <c r="E29">
        <v>28</v>
      </c>
      <c r="H29" s="9">
        <v>28</v>
      </c>
      <c r="I29" s="10" t="str">
        <f t="shared" si="0"/>
        <v>FIDESZ-KDNP</v>
      </c>
      <c r="J29" s="11">
        <f t="shared" si="1"/>
        <v>13</v>
      </c>
      <c r="K29" s="12">
        <f t="shared" si="2"/>
        <v>341556.46153846156</v>
      </c>
    </row>
    <row r="30" spans="1:14" ht="24" customHeight="1">
      <c r="A30" t="s">
        <v>36</v>
      </c>
      <c r="B30" s="3">
        <f t="shared" si="4"/>
        <v>163820.41379310345</v>
      </c>
      <c r="C30" s="3">
        <f t="shared" si="4"/>
        <v>24275</v>
      </c>
      <c r="D30" s="3">
        <f t="shared" si="4"/>
        <v>153111.5172413793</v>
      </c>
      <c r="E30">
        <v>29</v>
      </c>
      <c r="H30" s="9">
        <v>29</v>
      </c>
      <c r="I30" s="10" t="str">
        <f t="shared" si="0"/>
        <v>TISZA</v>
      </c>
      <c r="J30" s="11">
        <f t="shared" si="1"/>
        <v>13.999999999999998</v>
      </c>
      <c r="K30" s="12">
        <f t="shared" si="2"/>
        <v>339342.28571428574</v>
      </c>
    </row>
    <row r="31" spans="1:14" ht="24" customHeight="1">
      <c r="A31" t="s">
        <v>37</v>
      </c>
      <c r="B31" s="3">
        <f t="shared" si="4"/>
        <v>158359.73333333334</v>
      </c>
      <c r="C31" s="3">
        <f t="shared" si="4"/>
        <v>23465.833333333332</v>
      </c>
      <c r="D31" s="3">
        <f t="shared" si="4"/>
        <v>148007.79999999999</v>
      </c>
      <c r="E31">
        <v>30</v>
      </c>
      <c r="H31" s="9">
        <v>30</v>
      </c>
      <c r="I31" s="10" t="str">
        <f t="shared" si="0"/>
        <v>FIDESZ-KDNP</v>
      </c>
      <c r="J31" s="11">
        <f t="shared" si="1"/>
        <v>14</v>
      </c>
      <c r="K31" s="12">
        <f t="shared" si="2"/>
        <v>317159.57142857142</v>
      </c>
    </row>
    <row r="32" spans="1:14" ht="24" customHeight="1">
      <c r="A32" t="s">
        <v>38</v>
      </c>
      <c r="B32" s="3">
        <f t="shared" si="4"/>
        <v>153251.35483870967</v>
      </c>
      <c r="C32" s="3">
        <f t="shared" si="4"/>
        <v>22708.870967741936</v>
      </c>
      <c r="D32" s="3">
        <f t="shared" si="4"/>
        <v>143233.35483870967</v>
      </c>
      <c r="E32">
        <v>31</v>
      </c>
      <c r="H32" s="9">
        <v>31</v>
      </c>
      <c r="I32" s="10" t="str">
        <f t="shared" si="0"/>
        <v>TISZA</v>
      </c>
      <c r="J32" s="11">
        <f t="shared" si="1"/>
        <v>15</v>
      </c>
      <c r="K32" s="12">
        <f t="shared" si="2"/>
        <v>316719.46666666667</v>
      </c>
    </row>
    <row r="33" spans="1:11" ht="24" customHeight="1">
      <c r="A33" t="s">
        <v>39</v>
      </c>
      <c r="B33" s="3">
        <f t="shared" si="4"/>
        <v>148462.25</v>
      </c>
      <c r="C33" s="3">
        <f t="shared" si="4"/>
        <v>21999.21875</v>
      </c>
      <c r="D33" s="3">
        <f t="shared" si="4"/>
        <v>138757.3125</v>
      </c>
      <c r="E33">
        <v>32</v>
      </c>
      <c r="H33" s="9">
        <v>32</v>
      </c>
      <c r="I33" s="10" t="str">
        <f t="shared" si="0"/>
        <v>TISZA</v>
      </c>
      <c r="J33" s="11">
        <f t="shared" si="1"/>
        <v>16</v>
      </c>
      <c r="K33" s="12">
        <f t="shared" si="2"/>
        <v>296924.5</v>
      </c>
    </row>
    <row r="34" spans="1:11" ht="24" customHeight="1">
      <c r="A34" t="s">
        <v>40</v>
      </c>
      <c r="B34" s="3">
        <f t="shared" si="4"/>
        <v>143963.39393939395</v>
      </c>
      <c r="C34" s="3">
        <f t="shared" si="4"/>
        <v>21332.575757575756</v>
      </c>
      <c r="D34" s="3">
        <f t="shared" si="4"/>
        <v>134552.54545454544</v>
      </c>
      <c r="E34">
        <v>33</v>
      </c>
      <c r="H34" s="9">
        <v>33</v>
      </c>
      <c r="I34" s="10" t="str">
        <f t="shared" ref="I34:I65" si="5">IF(COUNTIF($B$2:$B$94,K34)&gt;0,"TISZA",IF(COUNTIF($C$2:$C$94,K34)&gt;0,"Mi Hazánk","FIDESZ-KDNP"))</f>
        <v>FIDESZ-KDNP</v>
      </c>
      <c r="J34" s="11">
        <f t="shared" ref="J34:J65" si="6">IF(I34="TISZA",$B$2/K34,IF(I34="Mi Hazánk",$C$2/K34,$D$2/K34))</f>
        <v>15.000000000000002</v>
      </c>
      <c r="K34" s="12">
        <f t="shared" ref="K34:K65" si="7">LARGE($B$2:$D$94,H34)</f>
        <v>296015.59999999998</v>
      </c>
    </row>
    <row r="35" spans="1:11" ht="24" customHeight="1">
      <c r="A35" t="s">
        <v>41</v>
      </c>
      <c r="B35" s="3">
        <f t="shared" si="4"/>
        <v>139729.17647058822</v>
      </c>
      <c r="C35" s="3">
        <f t="shared" si="4"/>
        <v>20705.147058823528</v>
      </c>
      <c r="D35" s="3">
        <f t="shared" si="4"/>
        <v>130595.11764705883</v>
      </c>
      <c r="E35">
        <v>34</v>
      </c>
      <c r="H35" s="9">
        <v>34</v>
      </c>
      <c r="I35" s="10" t="str">
        <f t="shared" si="5"/>
        <v>TISZA</v>
      </c>
      <c r="J35" s="11">
        <f t="shared" si="6"/>
        <v>17</v>
      </c>
      <c r="K35" s="12">
        <f t="shared" si="7"/>
        <v>279458.35294117645</v>
      </c>
    </row>
    <row r="36" spans="1:11" ht="24" customHeight="1">
      <c r="A36" t="s">
        <v>42</v>
      </c>
      <c r="B36" s="3">
        <f t="shared" si="4"/>
        <v>135736.91428571427</v>
      </c>
      <c r="C36" s="3">
        <f t="shared" si="4"/>
        <v>20113.571428571428</v>
      </c>
      <c r="D36" s="3">
        <f t="shared" si="4"/>
        <v>126863.82857142857</v>
      </c>
      <c r="E36">
        <v>35</v>
      </c>
      <c r="H36" s="9">
        <v>35</v>
      </c>
      <c r="I36" s="10" t="str">
        <f t="shared" si="5"/>
        <v>FIDESZ-KDNP</v>
      </c>
      <c r="J36" s="11">
        <f t="shared" si="6"/>
        <v>16</v>
      </c>
      <c r="K36" s="12">
        <f t="shared" si="7"/>
        <v>277514.625</v>
      </c>
    </row>
    <row r="37" spans="1:11" ht="24" customHeight="1">
      <c r="A37" t="s">
        <v>43</v>
      </c>
      <c r="B37" s="3">
        <f t="shared" si="4"/>
        <v>131966.44444444444</v>
      </c>
      <c r="C37" s="3">
        <f t="shared" si="4"/>
        <v>19554.861111111109</v>
      </c>
      <c r="D37" s="3">
        <f t="shared" si="4"/>
        <v>123339.83333333333</v>
      </c>
      <c r="E37">
        <v>36</v>
      </c>
      <c r="H37" s="9">
        <v>36</v>
      </c>
      <c r="I37" s="10" t="str">
        <f t="shared" si="5"/>
        <v>TISZA</v>
      </c>
      <c r="J37" s="11">
        <f t="shared" si="6"/>
        <v>18</v>
      </c>
      <c r="K37" s="12">
        <f t="shared" si="7"/>
        <v>263932.88888888888</v>
      </c>
    </row>
    <row r="38" spans="1:11" ht="24" customHeight="1">
      <c r="A38" t="s">
        <v>44</v>
      </c>
      <c r="B38" s="3">
        <f t="shared" si="4"/>
        <v>128399.78378378379</v>
      </c>
      <c r="C38" s="3">
        <f t="shared" si="4"/>
        <v>19026.35135135135</v>
      </c>
      <c r="D38" s="3">
        <f t="shared" si="4"/>
        <v>120006.32432432432</v>
      </c>
      <c r="E38">
        <v>37</v>
      </c>
      <c r="H38" s="9">
        <v>37</v>
      </c>
      <c r="I38" s="10" t="str">
        <f t="shared" si="5"/>
        <v>FIDESZ-KDNP</v>
      </c>
      <c r="J38" s="11">
        <f t="shared" si="6"/>
        <v>17</v>
      </c>
      <c r="K38" s="12">
        <f t="shared" si="7"/>
        <v>261190.23529411765</v>
      </c>
    </row>
    <row r="39" spans="1:11" ht="24" customHeight="1">
      <c r="A39" t="s">
        <v>45</v>
      </c>
      <c r="B39" s="3">
        <f t="shared" si="4"/>
        <v>125020.84210526316</v>
      </c>
      <c r="C39" s="3">
        <f t="shared" si="4"/>
        <v>18525.657894736843</v>
      </c>
      <c r="D39" s="3">
        <f t="shared" si="4"/>
        <v>116848.26315789473</v>
      </c>
      <c r="E39">
        <v>38</v>
      </c>
      <c r="H39" s="9">
        <v>38</v>
      </c>
      <c r="I39" s="10" t="str">
        <f t="shared" si="5"/>
        <v>TISZA</v>
      </c>
      <c r="J39" s="11">
        <f t="shared" si="6"/>
        <v>19</v>
      </c>
      <c r="K39" s="12">
        <f t="shared" si="7"/>
        <v>250041.68421052632</v>
      </c>
    </row>
    <row r="40" spans="1:11" ht="24" customHeight="1">
      <c r="A40" t="s">
        <v>46</v>
      </c>
      <c r="B40" s="3">
        <f t="shared" si="4"/>
        <v>121815.17948717948</v>
      </c>
      <c r="C40" s="3">
        <f t="shared" si="4"/>
        <v>18050.641025641027</v>
      </c>
      <c r="D40" s="3">
        <f t="shared" si="4"/>
        <v>113852.15384615384</v>
      </c>
      <c r="E40">
        <v>39</v>
      </c>
      <c r="H40" s="9">
        <v>39</v>
      </c>
      <c r="I40" s="10" t="str">
        <f t="shared" si="5"/>
        <v>FIDESZ-KDNP</v>
      </c>
      <c r="J40" s="11">
        <f t="shared" si="6"/>
        <v>18</v>
      </c>
      <c r="K40" s="12">
        <f t="shared" si="7"/>
        <v>246679.66666666666</v>
      </c>
    </row>
    <row r="41" spans="1:11" ht="24" customHeight="1">
      <c r="A41" t="s">
        <v>47</v>
      </c>
      <c r="B41" s="3">
        <f t="shared" si="4"/>
        <v>118769.8</v>
      </c>
      <c r="C41" s="3">
        <f t="shared" si="4"/>
        <v>17599.375</v>
      </c>
      <c r="D41" s="3">
        <f t="shared" si="4"/>
        <v>111005.85</v>
      </c>
      <c r="E41">
        <v>40</v>
      </c>
      <c r="H41" s="9">
        <v>40</v>
      </c>
      <c r="I41" s="10" t="str">
        <f t="shared" si="5"/>
        <v>TISZA</v>
      </c>
      <c r="J41" s="11">
        <f t="shared" si="6"/>
        <v>20</v>
      </c>
      <c r="K41" s="12">
        <f t="shared" si="7"/>
        <v>237539.6</v>
      </c>
    </row>
    <row r="42" spans="1:11" ht="24" customHeight="1">
      <c r="A42" t="s">
        <v>48</v>
      </c>
      <c r="B42" s="3">
        <f t="shared" si="4"/>
        <v>115872.9756097561</v>
      </c>
      <c r="C42" s="3">
        <f t="shared" si="4"/>
        <v>17170.121951219513</v>
      </c>
      <c r="D42" s="3">
        <f t="shared" si="4"/>
        <v>108298.39024390244</v>
      </c>
      <c r="E42">
        <v>41</v>
      </c>
      <c r="H42" s="9">
        <v>41</v>
      </c>
      <c r="I42" s="10" t="str">
        <f t="shared" si="5"/>
        <v>Mi Hazánk</v>
      </c>
      <c r="J42" s="11">
        <f t="shared" si="6"/>
        <v>3</v>
      </c>
      <c r="K42" s="12">
        <f t="shared" si="7"/>
        <v>234658.33333333334</v>
      </c>
    </row>
    <row r="43" spans="1:11" ht="24" customHeight="1">
      <c r="A43" t="s">
        <v>49</v>
      </c>
      <c r="B43" s="3">
        <f t="shared" ref="B43:D62" si="8">B$2/$E43</f>
        <v>113114.09523809524</v>
      </c>
      <c r="C43" s="3">
        <f t="shared" si="8"/>
        <v>16761.309523809523</v>
      </c>
      <c r="D43" s="3">
        <f t="shared" si="8"/>
        <v>105719.85714285714</v>
      </c>
      <c r="E43">
        <v>42</v>
      </c>
      <c r="H43" s="9">
        <v>42</v>
      </c>
      <c r="I43" s="10" t="str">
        <f t="shared" si="5"/>
        <v>FIDESZ-KDNP</v>
      </c>
      <c r="J43" s="11">
        <f t="shared" si="6"/>
        <v>19</v>
      </c>
      <c r="K43" s="12">
        <f t="shared" si="7"/>
        <v>233696.52631578947</v>
      </c>
    </row>
    <row r="44" spans="1:11" ht="24" customHeight="1">
      <c r="A44" t="s">
        <v>50</v>
      </c>
      <c r="B44" s="3">
        <f t="shared" si="8"/>
        <v>110483.53488372093</v>
      </c>
      <c r="C44" s="3">
        <f t="shared" si="8"/>
        <v>16371.511627906977</v>
      </c>
      <c r="D44" s="3">
        <f t="shared" si="8"/>
        <v>103261.25581395348</v>
      </c>
      <c r="E44">
        <v>43</v>
      </c>
      <c r="H44" s="9">
        <v>43</v>
      </c>
      <c r="I44" s="10" t="str">
        <f t="shared" si="5"/>
        <v>TISZA</v>
      </c>
      <c r="J44" s="11">
        <f t="shared" si="6"/>
        <v>21</v>
      </c>
      <c r="K44" s="12">
        <f t="shared" si="7"/>
        <v>226228.19047619047</v>
      </c>
    </row>
    <row r="45" spans="1:11" ht="24" customHeight="1">
      <c r="A45" t="s">
        <v>51</v>
      </c>
      <c r="B45" s="3">
        <f t="shared" si="8"/>
        <v>107972.54545454546</v>
      </c>
      <c r="C45" s="3">
        <f t="shared" si="8"/>
        <v>15999.431818181818</v>
      </c>
      <c r="D45" s="3">
        <f t="shared" si="8"/>
        <v>100914.40909090909</v>
      </c>
      <c r="E45">
        <v>44</v>
      </c>
      <c r="H45" s="9">
        <v>44</v>
      </c>
      <c r="I45" s="10" t="str">
        <f t="shared" si="5"/>
        <v>FIDESZ-KDNP</v>
      </c>
      <c r="J45" s="11">
        <f t="shared" si="6"/>
        <v>20</v>
      </c>
      <c r="K45" s="12">
        <f t="shared" si="7"/>
        <v>222011.7</v>
      </c>
    </row>
    <row r="46" spans="1:11" ht="24" customHeight="1">
      <c r="A46" t="s">
        <v>52</v>
      </c>
      <c r="B46" s="3">
        <f t="shared" si="8"/>
        <v>105573.15555555555</v>
      </c>
      <c r="C46" s="3">
        <f t="shared" si="8"/>
        <v>15643.888888888889</v>
      </c>
      <c r="D46" s="3">
        <f t="shared" si="8"/>
        <v>98671.866666666669</v>
      </c>
      <c r="E46">
        <v>45</v>
      </c>
      <c r="H46" s="9">
        <v>45</v>
      </c>
      <c r="I46" s="10" t="str">
        <f t="shared" si="5"/>
        <v>TISZA</v>
      </c>
      <c r="J46" s="11">
        <f t="shared" si="6"/>
        <v>22</v>
      </c>
      <c r="K46" s="12">
        <f t="shared" si="7"/>
        <v>215945.09090909091</v>
      </c>
    </row>
    <row r="47" spans="1:11" ht="24" customHeight="1">
      <c r="A47" t="s">
        <v>53</v>
      </c>
      <c r="B47" s="3">
        <f t="shared" si="8"/>
        <v>103278.08695652174</v>
      </c>
      <c r="C47" s="3">
        <f t="shared" si="8"/>
        <v>15303.804347826086</v>
      </c>
      <c r="D47" s="3">
        <f t="shared" si="8"/>
        <v>96526.826086956527</v>
      </c>
      <c r="E47">
        <v>46</v>
      </c>
      <c r="H47" s="9">
        <v>46</v>
      </c>
      <c r="I47" s="10" t="str">
        <f t="shared" si="5"/>
        <v>FIDESZ-KDNP</v>
      </c>
      <c r="J47" s="11">
        <f t="shared" si="6"/>
        <v>21</v>
      </c>
      <c r="K47" s="12">
        <f t="shared" si="7"/>
        <v>211439.71428571429</v>
      </c>
    </row>
    <row r="48" spans="1:11" ht="24" customHeight="1">
      <c r="A48" t="s">
        <v>54</v>
      </c>
      <c r="B48" s="3">
        <f t="shared" si="8"/>
        <v>101080.68085106384</v>
      </c>
      <c r="C48" s="3">
        <f t="shared" si="8"/>
        <v>14978.191489361701</v>
      </c>
      <c r="D48" s="3">
        <f t="shared" si="8"/>
        <v>94473.063829787236</v>
      </c>
      <c r="E48">
        <v>47</v>
      </c>
      <c r="H48" s="9">
        <v>47</v>
      </c>
      <c r="I48" s="10" t="str">
        <f t="shared" si="5"/>
        <v>TISZA</v>
      </c>
      <c r="J48" s="11">
        <f t="shared" si="6"/>
        <v>23</v>
      </c>
      <c r="K48" s="12">
        <f t="shared" si="7"/>
        <v>206556.17391304349</v>
      </c>
    </row>
    <row r="49" spans="1:11" ht="24" customHeight="1">
      <c r="A49" t="s">
        <v>55</v>
      </c>
      <c r="B49" s="3">
        <f t="shared" si="8"/>
        <v>98974.833333333328</v>
      </c>
      <c r="C49" s="3">
        <f t="shared" si="8"/>
        <v>14666.145833333334</v>
      </c>
      <c r="D49" s="3">
        <f t="shared" si="8"/>
        <v>92504.875</v>
      </c>
      <c r="E49">
        <v>48</v>
      </c>
      <c r="H49" s="9">
        <v>48</v>
      </c>
      <c r="I49" s="10" t="str">
        <f t="shared" si="5"/>
        <v>FIDESZ-KDNP</v>
      </c>
      <c r="J49" s="11">
        <f t="shared" si="6"/>
        <v>22</v>
      </c>
      <c r="K49" s="12">
        <f t="shared" si="7"/>
        <v>201828.81818181818</v>
      </c>
    </row>
    <row r="50" spans="1:11" ht="24" customHeight="1">
      <c r="A50" t="s">
        <v>56</v>
      </c>
      <c r="B50" s="3">
        <f t="shared" si="8"/>
        <v>96954.938775510207</v>
      </c>
      <c r="C50" s="3">
        <f t="shared" si="8"/>
        <v>14366.836734693878</v>
      </c>
      <c r="D50" s="3">
        <f t="shared" si="8"/>
        <v>90617.020408163269</v>
      </c>
      <c r="E50">
        <v>49</v>
      </c>
      <c r="H50" s="9">
        <v>49</v>
      </c>
      <c r="I50" s="10" t="str">
        <f t="shared" si="5"/>
        <v>TISZA</v>
      </c>
      <c r="J50" s="11">
        <f t="shared" si="6"/>
        <v>24</v>
      </c>
      <c r="K50" s="12">
        <f t="shared" si="7"/>
        <v>197949.66666666666</v>
      </c>
    </row>
    <row r="51" spans="1:11" ht="24" customHeight="1">
      <c r="A51" t="s">
        <v>57</v>
      </c>
      <c r="B51" s="3">
        <f t="shared" si="8"/>
        <v>95015.84</v>
      </c>
      <c r="C51" s="3">
        <f t="shared" si="8"/>
        <v>14079.5</v>
      </c>
      <c r="D51" s="3">
        <f t="shared" si="8"/>
        <v>88804.68</v>
      </c>
      <c r="E51">
        <v>50</v>
      </c>
      <c r="H51" s="9">
        <v>50</v>
      </c>
      <c r="I51" s="10" t="str">
        <f t="shared" si="5"/>
        <v>FIDESZ-KDNP</v>
      </c>
      <c r="J51" s="11">
        <f t="shared" si="6"/>
        <v>23</v>
      </c>
      <c r="K51" s="12">
        <f t="shared" si="7"/>
        <v>193053.65217391305</v>
      </c>
    </row>
    <row r="52" spans="1:11" ht="24" customHeight="1">
      <c r="A52" t="s">
        <v>58</v>
      </c>
      <c r="B52" s="3">
        <f t="shared" si="8"/>
        <v>93152.784313725497</v>
      </c>
      <c r="C52" s="3">
        <f t="shared" si="8"/>
        <v>13803.431372549019</v>
      </c>
      <c r="D52" s="3">
        <f t="shared" si="8"/>
        <v>87063.411764705888</v>
      </c>
      <c r="E52">
        <v>51</v>
      </c>
      <c r="H52" s="9">
        <v>51</v>
      </c>
      <c r="I52" s="10" t="str">
        <f t="shared" si="5"/>
        <v>TISZA</v>
      </c>
      <c r="J52" s="11">
        <f t="shared" si="6"/>
        <v>25</v>
      </c>
      <c r="K52" s="12">
        <f t="shared" si="7"/>
        <v>190031.68</v>
      </c>
    </row>
    <row r="53" spans="1:11" ht="24" customHeight="1">
      <c r="A53" t="s">
        <v>59</v>
      </c>
      <c r="B53" s="3">
        <f t="shared" si="8"/>
        <v>91361.38461538461</v>
      </c>
      <c r="C53" s="3">
        <f t="shared" si="8"/>
        <v>13537.98076923077</v>
      </c>
      <c r="D53" s="3">
        <f t="shared" si="8"/>
        <v>85389.11538461539</v>
      </c>
      <c r="E53">
        <v>52</v>
      </c>
      <c r="H53" s="9">
        <v>52</v>
      </c>
      <c r="I53" s="10" t="str">
        <f t="shared" si="5"/>
        <v>FIDESZ-KDNP</v>
      </c>
      <c r="J53" s="11">
        <f t="shared" si="6"/>
        <v>24</v>
      </c>
      <c r="K53" s="12">
        <f t="shared" si="7"/>
        <v>185009.75</v>
      </c>
    </row>
    <row r="54" spans="1:11" ht="24" customHeight="1">
      <c r="A54" t="s">
        <v>60</v>
      </c>
      <c r="B54" s="3">
        <f t="shared" si="8"/>
        <v>89637.584905660377</v>
      </c>
      <c r="C54" s="3">
        <f t="shared" si="8"/>
        <v>13282.547169811322</v>
      </c>
      <c r="D54" s="3">
        <f t="shared" si="8"/>
        <v>83778</v>
      </c>
      <c r="E54">
        <v>53</v>
      </c>
      <c r="H54" s="9">
        <v>53</v>
      </c>
      <c r="I54" s="10" t="str">
        <f t="shared" si="5"/>
        <v>TISZA</v>
      </c>
      <c r="J54" s="11">
        <f t="shared" si="6"/>
        <v>26</v>
      </c>
      <c r="K54" s="12">
        <f t="shared" si="7"/>
        <v>182722.76923076922</v>
      </c>
    </row>
    <row r="55" spans="1:11" ht="24" customHeight="1">
      <c r="A55" t="s">
        <v>61</v>
      </c>
      <c r="B55" s="3">
        <f t="shared" si="8"/>
        <v>87977.629629629635</v>
      </c>
      <c r="C55" s="3">
        <f t="shared" si="8"/>
        <v>13036.574074074075</v>
      </c>
      <c r="D55" s="3">
        <f t="shared" si="8"/>
        <v>82226.555555555562</v>
      </c>
      <c r="E55">
        <v>54</v>
      </c>
      <c r="H55" s="9">
        <v>54</v>
      </c>
      <c r="I55" s="10" t="str">
        <f t="shared" si="5"/>
        <v>FIDESZ-KDNP</v>
      </c>
      <c r="J55" s="11">
        <f t="shared" si="6"/>
        <v>25.000000000000004</v>
      </c>
      <c r="K55" s="12">
        <f t="shared" si="7"/>
        <v>177609.36</v>
      </c>
    </row>
    <row r="56" spans="1:11" ht="24" customHeight="1">
      <c r="A56" t="s">
        <v>62</v>
      </c>
      <c r="B56" s="3">
        <f t="shared" si="8"/>
        <v>86378.036363636362</v>
      </c>
      <c r="C56" s="3">
        <f t="shared" si="8"/>
        <v>12799.545454545454</v>
      </c>
      <c r="D56" s="3">
        <f t="shared" si="8"/>
        <v>80731.527272727268</v>
      </c>
      <c r="E56">
        <v>55</v>
      </c>
      <c r="H56" s="9">
        <v>55</v>
      </c>
      <c r="I56" s="10" t="str">
        <f t="shared" si="5"/>
        <v>Mi Hazánk</v>
      </c>
      <c r="J56" s="11">
        <f t="shared" si="6"/>
        <v>4</v>
      </c>
      <c r="K56" s="12">
        <f t="shared" si="7"/>
        <v>175993.75</v>
      </c>
    </row>
    <row r="57" spans="1:11" ht="24" customHeight="1">
      <c r="A57" t="s">
        <v>63</v>
      </c>
      <c r="B57" s="3">
        <f t="shared" si="8"/>
        <v>84835.571428571435</v>
      </c>
      <c r="C57" s="3">
        <f t="shared" si="8"/>
        <v>12570.982142857143</v>
      </c>
      <c r="D57" s="3">
        <f t="shared" si="8"/>
        <v>79289.892857142855</v>
      </c>
      <c r="E57">
        <v>56</v>
      </c>
      <c r="H57" s="9">
        <v>56</v>
      </c>
      <c r="I57" s="10" t="str">
        <f t="shared" si="5"/>
        <v>TISZA</v>
      </c>
      <c r="J57" s="11">
        <f t="shared" si="6"/>
        <v>27</v>
      </c>
      <c r="K57" s="12">
        <f t="shared" si="7"/>
        <v>175955.25925925927</v>
      </c>
    </row>
    <row r="58" spans="1:11" ht="24" customHeight="1">
      <c r="A58" t="s">
        <v>64</v>
      </c>
      <c r="B58" s="3">
        <f t="shared" si="8"/>
        <v>83347.228070175435</v>
      </c>
      <c r="C58" s="3">
        <f t="shared" si="8"/>
        <v>12350.438596491229</v>
      </c>
      <c r="D58" s="3">
        <f t="shared" si="8"/>
        <v>77898.84210526316</v>
      </c>
      <c r="E58">
        <v>57</v>
      </c>
      <c r="H58" s="9">
        <v>57</v>
      </c>
      <c r="I58" s="10" t="str">
        <f t="shared" si="5"/>
        <v>FIDESZ-KDNP</v>
      </c>
      <c r="J58" s="11">
        <f t="shared" si="6"/>
        <v>26</v>
      </c>
      <c r="K58" s="12">
        <f t="shared" si="7"/>
        <v>170778.23076923078</v>
      </c>
    </row>
    <row r="59" spans="1:11" ht="24" customHeight="1">
      <c r="A59" t="s">
        <v>65</v>
      </c>
      <c r="B59" s="3">
        <f t="shared" si="8"/>
        <v>81910.206896551725</v>
      </c>
      <c r="C59" s="3">
        <f t="shared" si="8"/>
        <v>12137.5</v>
      </c>
      <c r="D59" s="3">
        <f t="shared" si="8"/>
        <v>76555.758620689652</v>
      </c>
      <c r="E59">
        <v>58</v>
      </c>
      <c r="H59" s="9">
        <v>58</v>
      </c>
      <c r="I59" s="10" t="str">
        <f t="shared" si="5"/>
        <v>TISZA</v>
      </c>
      <c r="J59" s="11">
        <f t="shared" si="6"/>
        <v>27.999999999999996</v>
      </c>
      <c r="K59" s="12">
        <f t="shared" si="7"/>
        <v>169671.14285714287</v>
      </c>
    </row>
    <row r="60" spans="1:11" ht="24" customHeight="1">
      <c r="A60" t="s">
        <v>66</v>
      </c>
      <c r="B60" s="3">
        <f t="shared" si="8"/>
        <v>80521.898305084746</v>
      </c>
      <c r="C60" s="3">
        <f t="shared" si="8"/>
        <v>11931.77966101695</v>
      </c>
      <c r="D60" s="3">
        <f t="shared" si="8"/>
        <v>75258.203389830509</v>
      </c>
      <c r="E60">
        <v>59</v>
      </c>
      <c r="H60" s="9">
        <v>59</v>
      </c>
      <c r="I60" s="10" t="str">
        <f t="shared" si="5"/>
        <v>FIDESZ-KDNP</v>
      </c>
      <c r="J60" s="11">
        <f t="shared" si="6"/>
        <v>26.999999999999996</v>
      </c>
      <c r="K60" s="12">
        <f t="shared" si="7"/>
        <v>164453.11111111112</v>
      </c>
    </row>
    <row r="61" spans="1:11" ht="24" customHeight="1">
      <c r="A61" t="s">
        <v>67</v>
      </c>
      <c r="B61" s="3">
        <f t="shared" si="8"/>
        <v>79179.866666666669</v>
      </c>
      <c r="C61" s="3">
        <f t="shared" si="8"/>
        <v>11732.916666666666</v>
      </c>
      <c r="D61" s="3">
        <f t="shared" si="8"/>
        <v>74003.899999999994</v>
      </c>
      <c r="E61">
        <v>60</v>
      </c>
      <c r="H61" s="9">
        <v>60</v>
      </c>
      <c r="I61" s="10" t="str">
        <f t="shared" si="5"/>
        <v>TISZA</v>
      </c>
      <c r="J61" s="11">
        <f t="shared" si="6"/>
        <v>29</v>
      </c>
      <c r="K61" s="12">
        <f t="shared" si="7"/>
        <v>163820.41379310345</v>
      </c>
    </row>
    <row r="62" spans="1:11" ht="24" customHeight="1">
      <c r="A62" t="s">
        <v>68</v>
      </c>
      <c r="B62" s="3">
        <f t="shared" si="8"/>
        <v>77881.836065573763</v>
      </c>
      <c r="C62" s="3">
        <f t="shared" si="8"/>
        <v>11540.573770491803</v>
      </c>
      <c r="D62" s="3">
        <f t="shared" si="8"/>
        <v>72790.721311475412</v>
      </c>
      <c r="E62">
        <v>61</v>
      </c>
      <c r="H62" s="9">
        <v>61</v>
      </c>
      <c r="I62" s="10" t="str">
        <f t="shared" si="5"/>
        <v>FIDESZ-KDNP</v>
      </c>
      <c r="J62" s="11">
        <f t="shared" si="6"/>
        <v>28</v>
      </c>
      <c r="K62" s="12">
        <f t="shared" si="7"/>
        <v>158579.78571428571</v>
      </c>
    </row>
    <row r="63" spans="1:11" ht="24" customHeight="1">
      <c r="A63" t="s">
        <v>69</v>
      </c>
      <c r="B63" s="3">
        <f t="shared" ref="B63:D82" si="9">B$2/$E63</f>
        <v>76625.677419354834</v>
      </c>
      <c r="C63" s="3">
        <f t="shared" si="9"/>
        <v>11354.435483870968</v>
      </c>
      <c r="D63" s="3">
        <f t="shared" si="9"/>
        <v>71616.677419354834</v>
      </c>
      <c r="E63">
        <v>62</v>
      </c>
      <c r="H63" s="9">
        <v>62</v>
      </c>
      <c r="I63" s="10" t="str">
        <f t="shared" si="5"/>
        <v>TISZA</v>
      </c>
      <c r="J63" s="11">
        <f t="shared" si="6"/>
        <v>30</v>
      </c>
      <c r="K63" s="12">
        <f t="shared" si="7"/>
        <v>158359.73333333334</v>
      </c>
    </row>
    <row r="64" spans="1:11" ht="24" customHeight="1">
      <c r="A64" t="s">
        <v>70</v>
      </c>
      <c r="B64" s="3">
        <f t="shared" si="9"/>
        <v>75409.39682539682</v>
      </c>
      <c r="C64" s="3">
        <f t="shared" si="9"/>
        <v>11174.20634920635</v>
      </c>
      <c r="D64" s="3">
        <f t="shared" si="9"/>
        <v>70479.904761904763</v>
      </c>
      <c r="E64">
        <v>63</v>
      </c>
      <c r="H64" s="9">
        <v>63</v>
      </c>
      <c r="I64" s="10" t="str">
        <f t="shared" si="5"/>
        <v>TISZA</v>
      </c>
      <c r="J64" s="11">
        <f t="shared" si="6"/>
        <v>31.000000000000004</v>
      </c>
      <c r="K64" s="12">
        <f t="shared" si="7"/>
        <v>153251.35483870967</v>
      </c>
    </row>
    <row r="65" spans="1:11" ht="24" customHeight="1">
      <c r="A65" t="s">
        <v>71</v>
      </c>
      <c r="B65" s="3">
        <f t="shared" si="9"/>
        <v>74231.125</v>
      </c>
      <c r="C65" s="3">
        <f t="shared" si="9"/>
        <v>10999.609375</v>
      </c>
      <c r="D65" s="3">
        <f t="shared" si="9"/>
        <v>69378.65625</v>
      </c>
      <c r="E65">
        <v>64</v>
      </c>
      <c r="H65" s="9">
        <v>64</v>
      </c>
      <c r="I65" s="10" t="str">
        <f t="shared" si="5"/>
        <v>FIDESZ-KDNP</v>
      </c>
      <c r="J65" s="11">
        <f t="shared" si="6"/>
        <v>29</v>
      </c>
      <c r="K65" s="12">
        <f t="shared" si="7"/>
        <v>153111.5172413793</v>
      </c>
    </row>
    <row r="66" spans="1:11" ht="24" customHeight="1">
      <c r="A66" t="s">
        <v>72</v>
      </c>
      <c r="B66" s="3">
        <f t="shared" si="9"/>
        <v>73089.107692307691</v>
      </c>
      <c r="C66" s="3">
        <f t="shared" si="9"/>
        <v>10830.384615384615</v>
      </c>
      <c r="D66" s="3">
        <f t="shared" si="9"/>
        <v>68311.292307692303</v>
      </c>
      <c r="E66">
        <v>65</v>
      </c>
      <c r="H66" s="9">
        <v>65</v>
      </c>
      <c r="I66" s="10" t="str">
        <f t="shared" ref="I66:I94" si="10">IF(COUNTIF($B$2:$B$94,K66)&gt;0,"TISZA",IF(COUNTIF($C$2:$C$94,K66)&gt;0,"Mi Hazánk","FIDESZ-KDNP"))</f>
        <v>TISZA</v>
      </c>
      <c r="J66" s="11">
        <f t="shared" ref="J66:J94" si="11">IF(I66="TISZA",$B$2/K66,IF(I66="Mi Hazánk",$C$2/K66,$D$2/K66))</f>
        <v>32</v>
      </c>
      <c r="K66" s="12">
        <f t="shared" ref="K66:K94" si="12">LARGE($B$2:$D$94,H66)</f>
        <v>148462.25</v>
      </c>
    </row>
    <row r="67" spans="1:11" ht="24" customHeight="1">
      <c r="A67" t="s">
        <v>73</v>
      </c>
      <c r="B67" s="3">
        <f t="shared" si="9"/>
        <v>71981.696969696975</v>
      </c>
      <c r="C67" s="3">
        <f t="shared" si="9"/>
        <v>10666.287878787878</v>
      </c>
      <c r="D67" s="3">
        <f t="shared" si="9"/>
        <v>67276.272727272721</v>
      </c>
      <c r="E67">
        <v>66</v>
      </c>
      <c r="H67" s="9">
        <v>66</v>
      </c>
      <c r="I67" s="10" t="str">
        <f t="shared" si="10"/>
        <v>FIDESZ-KDNP</v>
      </c>
      <c r="J67" s="11">
        <f t="shared" si="11"/>
        <v>30.000000000000004</v>
      </c>
      <c r="K67" s="12">
        <f t="shared" si="12"/>
        <v>148007.79999999999</v>
      </c>
    </row>
    <row r="68" spans="1:11" ht="24" customHeight="1">
      <c r="A68" t="s">
        <v>74</v>
      </c>
      <c r="B68" s="3">
        <f t="shared" si="9"/>
        <v>70907.343283582086</v>
      </c>
      <c r="C68" s="3">
        <f t="shared" si="9"/>
        <v>10507.089552238805</v>
      </c>
      <c r="D68" s="3">
        <f t="shared" si="9"/>
        <v>66272.149253731346</v>
      </c>
      <c r="E68">
        <v>67</v>
      </c>
      <c r="H68" s="9">
        <v>67</v>
      </c>
      <c r="I68" s="10" t="str">
        <f t="shared" si="10"/>
        <v>TISZA</v>
      </c>
      <c r="J68" s="11">
        <f t="shared" si="11"/>
        <v>33</v>
      </c>
      <c r="K68" s="12">
        <f t="shared" si="12"/>
        <v>143963.39393939395</v>
      </c>
    </row>
    <row r="69" spans="1:11" ht="24" customHeight="1">
      <c r="A69" t="s">
        <v>75</v>
      </c>
      <c r="B69" s="3">
        <f t="shared" si="9"/>
        <v>69864.588235294112</v>
      </c>
      <c r="C69" s="3">
        <f t="shared" si="9"/>
        <v>10352.573529411764</v>
      </c>
      <c r="D69" s="3">
        <f t="shared" si="9"/>
        <v>65297.558823529413</v>
      </c>
      <c r="E69">
        <v>68</v>
      </c>
      <c r="H69" s="9">
        <v>68</v>
      </c>
      <c r="I69" s="10" t="str">
        <f t="shared" si="10"/>
        <v>FIDESZ-KDNP</v>
      </c>
      <c r="J69" s="11">
        <f t="shared" si="11"/>
        <v>31.000000000000004</v>
      </c>
      <c r="K69" s="12">
        <f t="shared" si="12"/>
        <v>143233.35483870967</v>
      </c>
    </row>
    <row r="70" spans="1:11" ht="24" customHeight="1">
      <c r="A70" t="s">
        <v>76</v>
      </c>
      <c r="B70" s="3">
        <f t="shared" si="9"/>
        <v>68852.057971014496</v>
      </c>
      <c r="C70" s="3">
        <f t="shared" si="9"/>
        <v>10202.536231884058</v>
      </c>
      <c r="D70" s="3">
        <f t="shared" si="9"/>
        <v>64351.217391304344</v>
      </c>
      <c r="E70">
        <v>69</v>
      </c>
      <c r="H70" s="9">
        <v>69</v>
      </c>
      <c r="I70" s="10" t="str">
        <f t="shared" si="10"/>
        <v>Mi Hazánk</v>
      </c>
      <c r="J70" s="11">
        <f t="shared" si="11"/>
        <v>5</v>
      </c>
      <c r="K70" s="12">
        <f t="shared" si="12"/>
        <v>140795</v>
      </c>
    </row>
    <row r="71" spans="1:11" ht="24" customHeight="1">
      <c r="A71" t="s">
        <v>77</v>
      </c>
      <c r="B71" s="3">
        <f t="shared" si="9"/>
        <v>67868.457142857136</v>
      </c>
      <c r="C71" s="3">
        <f t="shared" si="9"/>
        <v>10056.785714285714</v>
      </c>
      <c r="D71" s="3">
        <f t="shared" si="9"/>
        <v>63431.914285714287</v>
      </c>
      <c r="E71">
        <v>70</v>
      </c>
      <c r="H71" s="9">
        <v>70</v>
      </c>
      <c r="I71" s="10" t="str">
        <f t="shared" si="10"/>
        <v>TISZA</v>
      </c>
      <c r="J71" s="11">
        <f t="shared" si="11"/>
        <v>34</v>
      </c>
      <c r="K71" s="12">
        <f t="shared" si="12"/>
        <v>139729.17647058822</v>
      </c>
    </row>
    <row r="72" spans="1:11" ht="24" customHeight="1">
      <c r="A72" t="s">
        <v>78</v>
      </c>
      <c r="B72" s="3">
        <f t="shared" si="9"/>
        <v>66912.563380281688</v>
      </c>
      <c r="C72" s="3">
        <f t="shared" si="9"/>
        <v>9915.1408450704221</v>
      </c>
      <c r="D72" s="3">
        <f t="shared" si="9"/>
        <v>62538.507042253521</v>
      </c>
      <c r="E72">
        <v>71</v>
      </c>
      <c r="H72" s="9">
        <v>71</v>
      </c>
      <c r="I72" s="10" t="str">
        <f t="shared" si="10"/>
        <v>FIDESZ-KDNP</v>
      </c>
      <c r="J72" s="11">
        <f t="shared" si="11"/>
        <v>32</v>
      </c>
      <c r="K72" s="12">
        <f t="shared" si="12"/>
        <v>138757.3125</v>
      </c>
    </row>
    <row r="73" spans="1:11" ht="24" customHeight="1">
      <c r="A73" t="s">
        <v>79</v>
      </c>
      <c r="B73" s="3">
        <f t="shared" si="9"/>
        <v>65983.222222222219</v>
      </c>
      <c r="C73" s="3">
        <f t="shared" si="9"/>
        <v>9777.4305555555547</v>
      </c>
      <c r="D73" s="3">
        <f t="shared" si="9"/>
        <v>61669.916666666664</v>
      </c>
      <c r="E73">
        <v>72</v>
      </c>
      <c r="H73" s="9">
        <v>72</v>
      </c>
      <c r="I73" s="10" t="str">
        <f t="shared" si="10"/>
        <v>TISZA</v>
      </c>
      <c r="J73" s="11">
        <f t="shared" si="11"/>
        <v>35</v>
      </c>
      <c r="K73" s="12">
        <f t="shared" si="12"/>
        <v>135736.91428571427</v>
      </c>
    </row>
    <row r="74" spans="1:11" ht="24" customHeight="1">
      <c r="A74" t="s">
        <v>80</v>
      </c>
      <c r="B74" s="3">
        <f t="shared" si="9"/>
        <v>65079.342465753427</v>
      </c>
      <c r="C74" s="3">
        <f t="shared" si="9"/>
        <v>9643.4931506849316</v>
      </c>
      <c r="D74" s="3">
        <f t="shared" si="9"/>
        <v>60825.123287671231</v>
      </c>
      <c r="E74">
        <v>73</v>
      </c>
      <c r="H74" s="9">
        <v>73</v>
      </c>
      <c r="I74" s="10" t="str">
        <f t="shared" si="10"/>
        <v>FIDESZ-KDNP</v>
      </c>
      <c r="J74" s="11">
        <f t="shared" si="11"/>
        <v>33</v>
      </c>
      <c r="K74" s="12">
        <f t="shared" si="12"/>
        <v>134552.54545454544</v>
      </c>
    </row>
    <row r="75" spans="1:11" ht="24" customHeight="1">
      <c r="A75" t="s">
        <v>81</v>
      </c>
      <c r="B75" s="3">
        <f t="shared" si="9"/>
        <v>64199.891891891893</v>
      </c>
      <c r="C75" s="3">
        <f t="shared" si="9"/>
        <v>9513.1756756756749</v>
      </c>
      <c r="D75" s="3">
        <f t="shared" si="9"/>
        <v>60003.16216216216</v>
      </c>
      <c r="E75">
        <v>74</v>
      </c>
      <c r="H75" s="9">
        <v>74</v>
      </c>
      <c r="I75" s="10" t="str">
        <f t="shared" si="10"/>
        <v>TISZA</v>
      </c>
      <c r="J75" s="11">
        <f t="shared" si="11"/>
        <v>36</v>
      </c>
      <c r="K75" s="12">
        <f t="shared" si="12"/>
        <v>131966.44444444444</v>
      </c>
    </row>
    <row r="76" spans="1:11" ht="24" customHeight="1">
      <c r="A76" t="s">
        <v>82</v>
      </c>
      <c r="B76" s="3">
        <f t="shared" si="9"/>
        <v>63343.893333333333</v>
      </c>
      <c r="C76" s="3">
        <f t="shared" si="9"/>
        <v>9386.3333333333339</v>
      </c>
      <c r="D76" s="3">
        <f t="shared" si="9"/>
        <v>59203.12</v>
      </c>
      <c r="E76">
        <v>75</v>
      </c>
      <c r="H76" s="9">
        <v>75</v>
      </c>
      <c r="I76" s="10" t="str">
        <f t="shared" si="10"/>
        <v>FIDESZ-KDNP</v>
      </c>
      <c r="J76" s="11">
        <f t="shared" si="11"/>
        <v>34</v>
      </c>
      <c r="K76" s="12">
        <f t="shared" si="12"/>
        <v>130595.11764705883</v>
      </c>
    </row>
    <row r="77" spans="1:11" ht="24" customHeight="1">
      <c r="A77" t="s">
        <v>83</v>
      </c>
      <c r="B77" s="3">
        <f t="shared" si="9"/>
        <v>62510.42105263158</v>
      </c>
      <c r="C77" s="3">
        <f t="shared" si="9"/>
        <v>9262.8289473684217</v>
      </c>
      <c r="D77" s="3">
        <f t="shared" si="9"/>
        <v>58424.131578947367</v>
      </c>
      <c r="E77">
        <v>76</v>
      </c>
      <c r="H77" s="9">
        <v>76</v>
      </c>
      <c r="I77" s="10" t="str">
        <f t="shared" si="10"/>
        <v>TISZA</v>
      </c>
      <c r="J77" s="11">
        <f t="shared" si="11"/>
        <v>37</v>
      </c>
      <c r="K77" s="12">
        <f t="shared" si="12"/>
        <v>128399.78378378379</v>
      </c>
    </row>
    <row r="78" spans="1:11" ht="24" customHeight="1">
      <c r="A78" t="s">
        <v>84</v>
      </c>
      <c r="B78" s="3">
        <f t="shared" si="9"/>
        <v>61698.597402597399</v>
      </c>
      <c r="C78" s="3">
        <f t="shared" si="9"/>
        <v>9142.5324675324682</v>
      </c>
      <c r="D78" s="3">
        <f t="shared" si="9"/>
        <v>57665.376623376622</v>
      </c>
      <c r="E78">
        <v>77</v>
      </c>
      <c r="H78" s="9">
        <v>77</v>
      </c>
      <c r="I78" s="10" t="str">
        <f t="shared" si="10"/>
        <v>FIDESZ-KDNP</v>
      </c>
      <c r="J78" s="11">
        <f t="shared" si="11"/>
        <v>35</v>
      </c>
      <c r="K78" s="12">
        <f t="shared" si="12"/>
        <v>126863.82857142857</v>
      </c>
    </row>
    <row r="79" spans="1:11" ht="24" customHeight="1">
      <c r="A79" t="s">
        <v>85</v>
      </c>
      <c r="B79" s="3">
        <f t="shared" si="9"/>
        <v>60907.589743589742</v>
      </c>
      <c r="C79" s="3">
        <f t="shared" si="9"/>
        <v>9025.3205128205136</v>
      </c>
      <c r="D79" s="3">
        <f t="shared" si="9"/>
        <v>56926.076923076922</v>
      </c>
      <c r="E79">
        <v>78</v>
      </c>
      <c r="H79" s="9">
        <v>78</v>
      </c>
      <c r="I79" s="10" t="str">
        <f t="shared" si="10"/>
        <v>TISZA</v>
      </c>
      <c r="J79" s="11">
        <f t="shared" si="11"/>
        <v>38</v>
      </c>
      <c r="K79" s="12">
        <f t="shared" si="12"/>
        <v>125020.84210526316</v>
      </c>
    </row>
    <row r="80" spans="1:11" ht="24" customHeight="1">
      <c r="A80" t="s">
        <v>86</v>
      </c>
      <c r="B80" s="3">
        <f t="shared" si="9"/>
        <v>60136.607594936708</v>
      </c>
      <c r="C80" s="3">
        <f t="shared" si="9"/>
        <v>8911.0759493670885</v>
      </c>
      <c r="D80" s="3">
        <f t="shared" si="9"/>
        <v>56205.493670886077</v>
      </c>
      <c r="E80">
        <v>79</v>
      </c>
      <c r="H80" s="9">
        <v>79</v>
      </c>
      <c r="I80" s="10" t="str">
        <f t="shared" si="10"/>
        <v>FIDESZ-KDNP</v>
      </c>
      <c r="J80" s="11">
        <f t="shared" si="11"/>
        <v>36</v>
      </c>
      <c r="K80" s="12">
        <f t="shared" si="12"/>
        <v>123339.83333333333</v>
      </c>
    </row>
    <row r="81" spans="1:11" ht="24" customHeight="1">
      <c r="A81" t="s">
        <v>87</v>
      </c>
      <c r="B81" s="3">
        <f t="shared" si="9"/>
        <v>59384.9</v>
      </c>
      <c r="C81" s="3">
        <f t="shared" si="9"/>
        <v>8799.6875</v>
      </c>
      <c r="D81" s="3">
        <f t="shared" si="9"/>
        <v>55502.925000000003</v>
      </c>
      <c r="E81">
        <v>80</v>
      </c>
      <c r="H81" s="9">
        <v>80</v>
      </c>
      <c r="I81" s="10" t="str">
        <f t="shared" si="10"/>
        <v>TISZA</v>
      </c>
      <c r="J81" s="11">
        <f t="shared" si="11"/>
        <v>39</v>
      </c>
      <c r="K81" s="12">
        <f t="shared" si="12"/>
        <v>121815.17948717948</v>
      </c>
    </row>
    <row r="82" spans="1:11" ht="24" customHeight="1">
      <c r="A82" t="s">
        <v>88</v>
      </c>
      <c r="B82" s="3">
        <f t="shared" si="9"/>
        <v>58651.753086419754</v>
      </c>
      <c r="C82" s="3">
        <f t="shared" si="9"/>
        <v>8691.0493827160499</v>
      </c>
      <c r="D82" s="3">
        <f t="shared" si="9"/>
        <v>54817.703703703701</v>
      </c>
      <c r="E82">
        <v>81</v>
      </c>
      <c r="H82" s="9">
        <v>81</v>
      </c>
      <c r="I82" s="10" t="str">
        <f t="shared" si="10"/>
        <v>FIDESZ-KDNP</v>
      </c>
      <c r="J82" s="11">
        <f t="shared" si="11"/>
        <v>37</v>
      </c>
      <c r="K82" s="12">
        <f t="shared" si="12"/>
        <v>120006.32432432432</v>
      </c>
    </row>
    <row r="83" spans="1:11" ht="24" customHeight="1">
      <c r="A83" t="s">
        <v>89</v>
      </c>
      <c r="B83" s="3">
        <f t="shared" ref="B83:D94" si="13">B$2/$E83</f>
        <v>57936.487804878052</v>
      </c>
      <c r="C83" s="3">
        <f t="shared" si="13"/>
        <v>8585.0609756097565</v>
      </c>
      <c r="D83" s="3">
        <f t="shared" si="13"/>
        <v>54149.195121951219</v>
      </c>
      <c r="E83">
        <v>82</v>
      </c>
      <c r="H83" s="9">
        <v>82</v>
      </c>
      <c r="I83" s="10" t="str">
        <f t="shared" si="10"/>
        <v>TISZA</v>
      </c>
      <c r="J83" s="11">
        <f t="shared" si="11"/>
        <v>40</v>
      </c>
      <c r="K83" s="12">
        <f t="shared" si="12"/>
        <v>118769.8</v>
      </c>
    </row>
    <row r="84" spans="1:11" ht="24" customHeight="1">
      <c r="A84" t="s">
        <v>90</v>
      </c>
      <c r="B84" s="3">
        <f t="shared" si="13"/>
        <v>57238.457831325301</v>
      </c>
      <c r="C84" s="3">
        <f t="shared" si="13"/>
        <v>8481.6265060240967</v>
      </c>
      <c r="D84" s="3">
        <f t="shared" si="13"/>
        <v>53496.795180722889</v>
      </c>
      <c r="E84">
        <v>83</v>
      </c>
      <c r="H84" s="9">
        <v>83</v>
      </c>
      <c r="I84" s="10" t="str">
        <f t="shared" si="10"/>
        <v>Mi Hazánk</v>
      </c>
      <c r="J84" s="11">
        <f t="shared" si="11"/>
        <v>6</v>
      </c>
      <c r="K84" s="12">
        <f t="shared" si="12"/>
        <v>117329.16666666667</v>
      </c>
    </row>
    <row r="85" spans="1:11" ht="24" customHeight="1">
      <c r="A85" t="s">
        <v>91</v>
      </c>
      <c r="B85" s="3">
        <f t="shared" si="13"/>
        <v>56557.047619047618</v>
      </c>
      <c r="C85" s="3">
        <f t="shared" si="13"/>
        <v>8380.6547619047615</v>
      </c>
      <c r="D85" s="3">
        <f t="shared" si="13"/>
        <v>52859.928571428572</v>
      </c>
      <c r="E85">
        <v>84</v>
      </c>
      <c r="H85" s="9">
        <v>84</v>
      </c>
      <c r="I85" s="10" t="str">
        <f t="shared" si="10"/>
        <v>FIDESZ-KDNP</v>
      </c>
      <c r="J85" s="11">
        <f t="shared" si="11"/>
        <v>38</v>
      </c>
      <c r="K85" s="12">
        <f t="shared" si="12"/>
        <v>116848.26315789473</v>
      </c>
    </row>
    <row r="86" spans="1:11" ht="24" customHeight="1">
      <c r="A86" t="s">
        <v>92</v>
      </c>
      <c r="B86" s="3">
        <f t="shared" si="13"/>
        <v>55891.670588235291</v>
      </c>
      <c r="C86" s="3">
        <f t="shared" si="13"/>
        <v>8282.0588235294126</v>
      </c>
      <c r="D86" s="3">
        <f t="shared" si="13"/>
        <v>52238.047058823533</v>
      </c>
      <c r="E86">
        <v>85</v>
      </c>
      <c r="H86" s="9">
        <v>85</v>
      </c>
      <c r="I86" s="10" t="str">
        <f t="shared" si="10"/>
        <v>TISZA</v>
      </c>
      <c r="J86" s="11">
        <f t="shared" si="11"/>
        <v>41</v>
      </c>
      <c r="K86" s="12">
        <f t="shared" si="12"/>
        <v>115872.9756097561</v>
      </c>
    </row>
    <row r="87" spans="1:11" ht="24" customHeight="1">
      <c r="A87" t="s">
        <v>93</v>
      </c>
      <c r="B87" s="3">
        <f t="shared" si="13"/>
        <v>55241.767441860466</v>
      </c>
      <c r="C87" s="3">
        <f t="shared" si="13"/>
        <v>8185.7558139534885</v>
      </c>
      <c r="D87" s="3">
        <f t="shared" si="13"/>
        <v>51630.627906976741</v>
      </c>
      <c r="E87">
        <v>86</v>
      </c>
      <c r="H87" s="9">
        <v>86</v>
      </c>
      <c r="I87" s="10" t="str">
        <f t="shared" si="10"/>
        <v>FIDESZ-KDNP</v>
      </c>
      <c r="J87" s="11">
        <f t="shared" si="11"/>
        <v>39</v>
      </c>
      <c r="K87" s="12">
        <f t="shared" si="12"/>
        <v>113852.15384615384</v>
      </c>
    </row>
    <row r="88" spans="1:11" ht="24" customHeight="1">
      <c r="A88" t="s">
        <v>94</v>
      </c>
      <c r="B88" s="3">
        <f t="shared" si="13"/>
        <v>54606.80459770115</v>
      </c>
      <c r="C88" s="3">
        <f t="shared" si="13"/>
        <v>8091.666666666667</v>
      </c>
      <c r="D88" s="3">
        <f t="shared" si="13"/>
        <v>51037.172413793101</v>
      </c>
      <c r="E88">
        <v>87</v>
      </c>
      <c r="H88" s="9">
        <v>87</v>
      </c>
      <c r="I88" s="10" t="str">
        <f t="shared" si="10"/>
        <v>TISZA</v>
      </c>
      <c r="J88" s="11">
        <f t="shared" si="11"/>
        <v>42</v>
      </c>
      <c r="K88" s="12">
        <f t="shared" si="12"/>
        <v>113114.09523809524</v>
      </c>
    </row>
    <row r="89" spans="1:11" ht="24" customHeight="1">
      <c r="A89" t="s">
        <v>95</v>
      </c>
      <c r="B89" s="3">
        <f t="shared" si="13"/>
        <v>53986.272727272728</v>
      </c>
      <c r="C89" s="3">
        <f t="shared" si="13"/>
        <v>7999.715909090909</v>
      </c>
      <c r="D89" s="3">
        <f t="shared" si="13"/>
        <v>50457.204545454544</v>
      </c>
      <c r="E89">
        <v>88</v>
      </c>
      <c r="H89" s="9">
        <v>88</v>
      </c>
      <c r="I89" s="10" t="str">
        <f t="shared" si="10"/>
        <v>FIDESZ-KDNP</v>
      </c>
      <c r="J89" s="11">
        <f t="shared" si="11"/>
        <v>40</v>
      </c>
      <c r="K89" s="12">
        <f t="shared" si="12"/>
        <v>111005.85</v>
      </c>
    </row>
    <row r="90" spans="1:11" ht="24" customHeight="1">
      <c r="A90" t="s">
        <v>96</v>
      </c>
      <c r="B90" s="3">
        <f t="shared" si="13"/>
        <v>53379.685393258427</v>
      </c>
      <c r="C90" s="3">
        <f t="shared" si="13"/>
        <v>7909.8314606741569</v>
      </c>
      <c r="D90" s="3">
        <f t="shared" si="13"/>
        <v>49890.269662921346</v>
      </c>
      <c r="E90">
        <v>89</v>
      </c>
      <c r="H90" s="9">
        <v>89</v>
      </c>
      <c r="I90" s="10" t="str">
        <f t="shared" si="10"/>
        <v>TISZA</v>
      </c>
      <c r="J90" s="11">
        <f t="shared" si="11"/>
        <v>43</v>
      </c>
      <c r="K90" s="12">
        <f t="shared" si="12"/>
        <v>110483.53488372093</v>
      </c>
    </row>
    <row r="91" spans="1:11" ht="24" customHeight="1">
      <c r="A91" t="s">
        <v>97</v>
      </c>
      <c r="B91" s="3">
        <f t="shared" si="13"/>
        <v>52786.577777777777</v>
      </c>
      <c r="C91" s="3">
        <f t="shared" si="13"/>
        <v>7821.9444444444443</v>
      </c>
      <c r="D91" s="3">
        <f t="shared" si="13"/>
        <v>49335.933333333334</v>
      </c>
      <c r="E91">
        <v>90</v>
      </c>
      <c r="H91" s="9">
        <v>90</v>
      </c>
      <c r="I91" s="10" t="str">
        <f t="shared" si="10"/>
        <v>FIDESZ-KDNP</v>
      </c>
      <c r="J91" s="11">
        <f t="shared" si="11"/>
        <v>41</v>
      </c>
      <c r="K91" s="12">
        <f t="shared" si="12"/>
        <v>108298.39024390244</v>
      </c>
    </row>
    <row r="92" spans="1:11" ht="24" customHeight="1">
      <c r="A92" t="s">
        <v>98</v>
      </c>
      <c r="B92" s="3">
        <f t="shared" si="13"/>
        <v>52206.505494505494</v>
      </c>
      <c r="C92" s="3">
        <f t="shared" si="13"/>
        <v>7735.9890109890111</v>
      </c>
      <c r="D92" s="3">
        <f t="shared" si="13"/>
        <v>48793.780219780223</v>
      </c>
      <c r="E92">
        <v>91</v>
      </c>
      <c r="H92" s="9">
        <v>91</v>
      </c>
      <c r="I92" s="10" t="str">
        <f t="shared" si="10"/>
        <v>TISZA</v>
      </c>
      <c r="J92" s="11">
        <f t="shared" si="11"/>
        <v>44</v>
      </c>
      <c r="K92" s="12">
        <f t="shared" si="12"/>
        <v>107972.54545454546</v>
      </c>
    </row>
    <row r="93" spans="1:11" ht="24" customHeight="1">
      <c r="A93" t="s">
        <v>99</v>
      </c>
      <c r="B93" s="3">
        <f t="shared" si="13"/>
        <v>51639.043478260872</v>
      </c>
      <c r="C93" s="3">
        <f t="shared" si="13"/>
        <v>7651.902173913043</v>
      </c>
      <c r="D93" s="3">
        <f t="shared" si="13"/>
        <v>48263.413043478264</v>
      </c>
      <c r="E93">
        <v>92</v>
      </c>
      <c r="H93" s="9">
        <v>92</v>
      </c>
      <c r="I93" s="10" t="str">
        <f t="shared" si="10"/>
        <v>FIDESZ-KDNP</v>
      </c>
      <c r="J93" s="11">
        <f t="shared" si="11"/>
        <v>42</v>
      </c>
      <c r="K93" s="12">
        <f t="shared" si="12"/>
        <v>105719.85714285714</v>
      </c>
    </row>
    <row r="94" spans="1:11" ht="24" customHeight="1">
      <c r="A94" t="s">
        <v>100</v>
      </c>
      <c r="B94" s="3">
        <f t="shared" si="13"/>
        <v>51083.784946236556</v>
      </c>
      <c r="C94" s="3">
        <f t="shared" si="13"/>
        <v>7569.6236559139788</v>
      </c>
      <c r="D94" s="3">
        <f t="shared" si="13"/>
        <v>47744.451612903227</v>
      </c>
      <c r="E94">
        <v>93</v>
      </c>
      <c r="H94" s="9">
        <v>93</v>
      </c>
      <c r="I94" s="10" t="str">
        <f t="shared" si="10"/>
        <v>TISZA</v>
      </c>
      <c r="J94" s="11">
        <f t="shared" si="11"/>
        <v>45</v>
      </c>
      <c r="K94" s="12">
        <f t="shared" si="12"/>
        <v>105573.15555555555</v>
      </c>
    </row>
  </sheetData>
  <mergeCells count="9">
    <mergeCell ref="M20:N20"/>
    <mergeCell ref="M13:Q13"/>
    <mergeCell ref="M6:N6"/>
    <mergeCell ref="P6:Q6"/>
    <mergeCell ref="O8:P8"/>
    <mergeCell ref="O9:P9"/>
    <mergeCell ref="O11:P11"/>
    <mergeCell ref="O12:P12"/>
    <mergeCell ref="M10:Q10"/>
  </mergeCells>
  <conditionalFormatting sqref="B2:D94 N9:O9 Q9 N12:O12 Q12">
    <cfRule type="expression" dxfId="15" priority="6">
      <formula>B2&gt;=LARGE($B$2:$D$94,93)</formula>
    </cfRule>
  </conditionalFormatting>
  <conditionalFormatting sqref="I2:I94">
    <cfRule type="containsText" dxfId="14" priority="3" operator="containsText" text="Mi">
      <formula>NOT(ISERROR(SEARCH("Mi",I2)))</formula>
    </cfRule>
    <cfRule type="containsText" dxfId="13" priority="4" operator="containsText" text="FIDESZ">
      <formula>NOT(ISERROR(SEARCH("FIDESZ",I2)))</formula>
    </cfRule>
    <cfRule type="containsText" dxfId="12" priority="5" operator="containsText" text="TISZA">
      <formula>NOT(ISERROR(SEARCH("TISZA",I2)))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C7F7-7488-DD47-A875-24975A8B9199}">
  <dimension ref="A1:N94"/>
  <sheetViews>
    <sheetView workbookViewId="0">
      <selection activeCell="D8" sqref="D8"/>
    </sheetView>
  </sheetViews>
  <sheetFormatPr baseColWidth="10" defaultRowHeight="16"/>
  <cols>
    <col min="1" max="1" width="14" bestFit="1" customWidth="1"/>
    <col min="2" max="2" width="19.1640625" style="1" customWidth="1"/>
    <col min="3" max="4" width="19.1640625" customWidth="1"/>
    <col min="5" max="6" width="5" customWidth="1"/>
    <col min="7" max="7" width="2" customWidth="1"/>
    <col min="8" max="8" width="10" style="1" customWidth="1"/>
    <col min="9" max="9" width="18.6640625" customWidth="1"/>
    <col min="10" max="10" width="8" style="1" customWidth="1"/>
    <col min="11" max="11" width="14" style="1" customWidth="1"/>
    <col min="12" max="12" width="2" customWidth="1"/>
    <col min="13" max="13" width="14" customWidth="1"/>
    <col min="14" max="14" width="11" customWidth="1"/>
  </cols>
  <sheetData>
    <row r="1" spans="1:14" ht="24" customHeight="1">
      <c r="A1" s="6" t="s">
        <v>101</v>
      </c>
      <c r="B1" s="6" t="s">
        <v>5</v>
      </c>
      <c r="C1" s="6" t="s">
        <v>6</v>
      </c>
      <c r="D1" s="6" t="s">
        <v>7</v>
      </c>
      <c r="E1" s="7"/>
      <c r="F1" s="7"/>
      <c r="G1" s="7"/>
      <c r="H1" s="8" t="s">
        <v>0</v>
      </c>
      <c r="I1" s="8" t="s">
        <v>1</v>
      </c>
      <c r="J1" s="8" t="s">
        <v>2</v>
      </c>
      <c r="K1" s="8" t="s">
        <v>3</v>
      </c>
      <c r="L1" s="7"/>
      <c r="M1" s="6" t="s">
        <v>1</v>
      </c>
      <c r="N1" s="6" t="s">
        <v>4</v>
      </c>
    </row>
    <row r="2" spans="1:14" ht="24" customHeight="1">
      <c r="A2" t="s">
        <v>102</v>
      </c>
      <c r="B2" s="2">
        <f>'V2026'!B2-46482</f>
        <v>4704310</v>
      </c>
      <c r="C2" s="2">
        <f>'V2026'!C2-5210</f>
        <v>698765</v>
      </c>
      <c r="D2" s="2">
        <f>'V2026'!D2-282028</f>
        <v>4158206</v>
      </c>
      <c r="E2">
        <v>1</v>
      </c>
      <c r="H2" s="9">
        <v>1</v>
      </c>
      <c r="I2" s="10" t="str">
        <f t="shared" ref="I2:I65" si="0">IF(COUNTIF($B$2:$B$94,K2)&gt;0,"TISZA",IF(COUNTIF($C$2:$C$94,K2)&gt;0,"Mi Hazánk","FIDESZ-KDNP"))</f>
        <v>TISZA</v>
      </c>
      <c r="J2" s="11">
        <f t="shared" ref="J2:J65" si="1">IF(I2="TISZA",$B$2/K2,IF(I2="Mi Hazánk",$C$2/K2,$D$2/K2))</f>
        <v>1</v>
      </c>
      <c r="K2" s="12">
        <f t="shared" ref="K2:K65" si="2">LARGE($B$2:$D$94,H2)</f>
        <v>4704310</v>
      </c>
      <c r="M2" t="s">
        <v>5</v>
      </c>
      <c r="N2" s="1">
        <f>COUNTIF($I$2:$I$94,M2)</f>
        <v>46</v>
      </c>
    </row>
    <row r="3" spans="1:14" ht="24" customHeight="1">
      <c r="A3" t="s">
        <v>8</v>
      </c>
      <c r="B3" s="3">
        <f t="shared" ref="B3:D22" si="3">B$2/$E3</f>
        <v>2352155</v>
      </c>
      <c r="C3" s="3">
        <f t="shared" si="3"/>
        <v>349382.5</v>
      </c>
      <c r="D3" s="3">
        <f t="shared" si="3"/>
        <v>2079103</v>
      </c>
      <c r="E3">
        <v>2</v>
      </c>
      <c r="H3" s="9">
        <v>2</v>
      </c>
      <c r="I3" s="10" t="str">
        <f t="shared" si="0"/>
        <v>FIDESZ-KDNP</v>
      </c>
      <c r="J3" s="11">
        <f t="shared" si="1"/>
        <v>1</v>
      </c>
      <c r="K3" s="12">
        <f t="shared" si="2"/>
        <v>4158206</v>
      </c>
      <c r="M3" t="s">
        <v>6</v>
      </c>
      <c r="N3" s="1">
        <f>COUNTIF($I$2:$I$94,M3)</f>
        <v>6</v>
      </c>
    </row>
    <row r="4" spans="1:14" ht="24" customHeight="1">
      <c r="A4" t="s">
        <v>9</v>
      </c>
      <c r="B4" s="3">
        <f t="shared" si="3"/>
        <v>1568103.3333333333</v>
      </c>
      <c r="C4" s="3">
        <f t="shared" si="3"/>
        <v>232921.66666666666</v>
      </c>
      <c r="D4" s="3">
        <f t="shared" si="3"/>
        <v>1386068.6666666667</v>
      </c>
      <c r="E4">
        <v>3</v>
      </c>
      <c r="H4" s="9">
        <v>3</v>
      </c>
      <c r="I4" s="10" t="str">
        <f t="shared" si="0"/>
        <v>TISZA</v>
      </c>
      <c r="J4" s="11">
        <f t="shared" si="1"/>
        <v>2</v>
      </c>
      <c r="K4" s="12">
        <f t="shared" si="2"/>
        <v>2352155</v>
      </c>
      <c r="M4" t="s">
        <v>7</v>
      </c>
      <c r="N4" s="1">
        <f>COUNTIF($I$2:$I$94,M4)</f>
        <v>41</v>
      </c>
    </row>
    <row r="5" spans="1:14" ht="24" customHeight="1">
      <c r="A5" t="s">
        <v>11</v>
      </c>
      <c r="B5" s="3">
        <f t="shared" si="3"/>
        <v>1176077.5</v>
      </c>
      <c r="C5" s="3">
        <f t="shared" si="3"/>
        <v>174691.25</v>
      </c>
      <c r="D5" s="3">
        <f t="shared" si="3"/>
        <v>1039551.5</v>
      </c>
      <c r="E5">
        <v>4</v>
      </c>
      <c r="H5" s="9">
        <v>4</v>
      </c>
      <c r="I5" s="10" t="str">
        <f t="shared" si="0"/>
        <v>FIDESZ-KDNP</v>
      </c>
      <c r="J5" s="11">
        <f t="shared" si="1"/>
        <v>2</v>
      </c>
      <c r="K5" s="12">
        <f t="shared" si="2"/>
        <v>2079103</v>
      </c>
      <c r="M5" s="4" t="s">
        <v>10</v>
      </c>
      <c r="N5" s="5">
        <f>SUM(N2:N4)</f>
        <v>93</v>
      </c>
    </row>
    <row r="6" spans="1:14" ht="24" customHeight="1">
      <c r="A6" t="s">
        <v>12</v>
      </c>
      <c r="B6" s="3">
        <f t="shared" si="3"/>
        <v>940862</v>
      </c>
      <c r="C6" s="3">
        <f t="shared" si="3"/>
        <v>139753</v>
      </c>
      <c r="D6" s="3">
        <f t="shared" si="3"/>
        <v>831641.2</v>
      </c>
      <c r="E6">
        <v>5</v>
      </c>
      <c r="H6" s="9">
        <v>5</v>
      </c>
      <c r="I6" s="10" t="str">
        <f t="shared" si="0"/>
        <v>TISZA</v>
      </c>
      <c r="J6" s="11">
        <f t="shared" si="1"/>
        <v>3</v>
      </c>
      <c r="K6" s="12">
        <f t="shared" si="2"/>
        <v>1568103.3333333333</v>
      </c>
    </row>
    <row r="7" spans="1:14" ht="24" customHeight="1">
      <c r="A7" t="s">
        <v>13</v>
      </c>
      <c r="B7" s="3">
        <f t="shared" si="3"/>
        <v>784051.66666666663</v>
      </c>
      <c r="C7" s="3">
        <f t="shared" si="3"/>
        <v>116460.83333333333</v>
      </c>
      <c r="D7" s="3">
        <f t="shared" si="3"/>
        <v>693034.33333333337</v>
      </c>
      <c r="E7">
        <v>6</v>
      </c>
      <c r="H7" s="9">
        <v>6</v>
      </c>
      <c r="I7" s="10" t="str">
        <f t="shared" si="0"/>
        <v>FIDESZ-KDNP</v>
      </c>
      <c r="J7" s="11">
        <f t="shared" si="1"/>
        <v>3</v>
      </c>
      <c r="K7" s="12">
        <f t="shared" si="2"/>
        <v>1386068.6666666667</v>
      </c>
    </row>
    <row r="8" spans="1:14" ht="24" customHeight="1">
      <c r="A8" t="s">
        <v>14</v>
      </c>
      <c r="B8" s="3">
        <f t="shared" si="3"/>
        <v>672044.28571428568</v>
      </c>
      <c r="C8" s="3">
        <f t="shared" si="3"/>
        <v>99823.571428571435</v>
      </c>
      <c r="D8" s="3">
        <f t="shared" si="3"/>
        <v>594029.42857142852</v>
      </c>
      <c r="E8">
        <v>7</v>
      </c>
      <c r="H8" s="9">
        <v>7</v>
      </c>
      <c r="I8" s="10" t="str">
        <f t="shared" si="0"/>
        <v>TISZA</v>
      </c>
      <c r="J8" s="11">
        <f t="shared" si="1"/>
        <v>4</v>
      </c>
      <c r="K8" s="12">
        <f t="shared" si="2"/>
        <v>1176077.5</v>
      </c>
    </row>
    <row r="9" spans="1:14" ht="24" customHeight="1">
      <c r="A9" t="s">
        <v>15</v>
      </c>
      <c r="B9" s="3">
        <f t="shared" si="3"/>
        <v>588038.75</v>
      </c>
      <c r="C9" s="3">
        <f t="shared" si="3"/>
        <v>87345.625</v>
      </c>
      <c r="D9" s="3">
        <f t="shared" si="3"/>
        <v>519775.75</v>
      </c>
      <c r="E9">
        <v>8</v>
      </c>
      <c r="H9" s="9">
        <v>8</v>
      </c>
      <c r="I9" s="10" t="str">
        <f t="shared" si="0"/>
        <v>FIDESZ-KDNP</v>
      </c>
      <c r="J9" s="11">
        <f t="shared" si="1"/>
        <v>4</v>
      </c>
      <c r="K9" s="12">
        <f t="shared" si="2"/>
        <v>1039551.5</v>
      </c>
    </row>
    <row r="10" spans="1:14" ht="24" customHeight="1">
      <c r="A10" t="s">
        <v>16</v>
      </c>
      <c r="B10" s="3">
        <f t="shared" si="3"/>
        <v>522701.11111111112</v>
      </c>
      <c r="C10" s="3">
        <f t="shared" si="3"/>
        <v>77640.555555555562</v>
      </c>
      <c r="D10" s="3">
        <f t="shared" si="3"/>
        <v>462022.88888888888</v>
      </c>
      <c r="E10">
        <v>9</v>
      </c>
      <c r="H10" s="9">
        <v>9</v>
      </c>
      <c r="I10" s="10" t="str">
        <f t="shared" si="0"/>
        <v>TISZA</v>
      </c>
      <c r="J10" s="11">
        <f t="shared" si="1"/>
        <v>5</v>
      </c>
      <c r="K10" s="12">
        <f t="shared" si="2"/>
        <v>940862</v>
      </c>
    </row>
    <row r="11" spans="1:14" ht="24" customHeight="1">
      <c r="A11" t="s">
        <v>17</v>
      </c>
      <c r="B11" s="3">
        <f t="shared" si="3"/>
        <v>470431</v>
      </c>
      <c r="C11" s="3">
        <f t="shared" si="3"/>
        <v>69876.5</v>
      </c>
      <c r="D11" s="3">
        <f t="shared" si="3"/>
        <v>415820.6</v>
      </c>
      <c r="E11">
        <v>10</v>
      </c>
      <c r="H11" s="9">
        <v>10</v>
      </c>
      <c r="I11" s="10" t="str">
        <f t="shared" si="0"/>
        <v>FIDESZ-KDNP</v>
      </c>
      <c r="J11" s="11">
        <f t="shared" si="1"/>
        <v>5</v>
      </c>
      <c r="K11" s="12">
        <f t="shared" si="2"/>
        <v>831641.2</v>
      </c>
    </row>
    <row r="12" spans="1:14" ht="24" customHeight="1">
      <c r="A12" t="s">
        <v>18</v>
      </c>
      <c r="B12" s="3">
        <f t="shared" si="3"/>
        <v>427664.54545454547</v>
      </c>
      <c r="C12" s="3">
        <f t="shared" si="3"/>
        <v>63524.090909090912</v>
      </c>
      <c r="D12" s="3">
        <f t="shared" si="3"/>
        <v>378018.72727272729</v>
      </c>
      <c r="E12">
        <v>11</v>
      </c>
      <c r="H12" s="9">
        <v>11</v>
      </c>
      <c r="I12" s="10" t="str">
        <f t="shared" si="0"/>
        <v>TISZA</v>
      </c>
      <c r="J12" s="11">
        <f t="shared" si="1"/>
        <v>6</v>
      </c>
      <c r="K12" s="12">
        <f t="shared" si="2"/>
        <v>784051.66666666663</v>
      </c>
    </row>
    <row r="13" spans="1:14" ht="24" customHeight="1">
      <c r="A13" t="s">
        <v>19</v>
      </c>
      <c r="B13" s="3">
        <f t="shared" si="3"/>
        <v>392025.83333333331</v>
      </c>
      <c r="C13" s="3">
        <f t="shared" si="3"/>
        <v>58230.416666666664</v>
      </c>
      <c r="D13" s="3">
        <f t="shared" si="3"/>
        <v>346517.16666666669</v>
      </c>
      <c r="E13">
        <v>12</v>
      </c>
      <c r="H13" s="9">
        <v>12</v>
      </c>
      <c r="I13" s="10" t="str">
        <f t="shared" si="0"/>
        <v>Mi Hazánk</v>
      </c>
      <c r="J13" s="11">
        <f t="shared" si="1"/>
        <v>1</v>
      </c>
      <c r="K13" s="12">
        <f t="shared" si="2"/>
        <v>698765</v>
      </c>
    </row>
    <row r="14" spans="1:14" ht="24" customHeight="1">
      <c r="A14" t="s">
        <v>20</v>
      </c>
      <c r="B14" s="3">
        <f t="shared" si="3"/>
        <v>361870</v>
      </c>
      <c r="C14" s="3">
        <f t="shared" si="3"/>
        <v>53751.153846153844</v>
      </c>
      <c r="D14" s="3">
        <f t="shared" si="3"/>
        <v>319862</v>
      </c>
      <c r="E14">
        <v>13</v>
      </c>
      <c r="H14" s="9">
        <v>13</v>
      </c>
      <c r="I14" s="10" t="str">
        <f t="shared" si="0"/>
        <v>FIDESZ-KDNP</v>
      </c>
      <c r="J14" s="11">
        <f t="shared" si="1"/>
        <v>6</v>
      </c>
      <c r="K14" s="12">
        <f t="shared" si="2"/>
        <v>693034.33333333337</v>
      </c>
    </row>
    <row r="15" spans="1:14" ht="24" customHeight="1">
      <c r="A15" t="s">
        <v>21</v>
      </c>
      <c r="B15" s="3">
        <f t="shared" si="3"/>
        <v>336022.14285714284</v>
      </c>
      <c r="C15" s="3">
        <f t="shared" si="3"/>
        <v>49911.785714285717</v>
      </c>
      <c r="D15" s="3">
        <f t="shared" si="3"/>
        <v>297014.71428571426</v>
      </c>
      <c r="E15">
        <v>14</v>
      </c>
      <c r="H15" s="9">
        <v>14</v>
      </c>
      <c r="I15" s="10" t="str">
        <f t="shared" si="0"/>
        <v>TISZA</v>
      </c>
      <c r="J15" s="11">
        <f t="shared" si="1"/>
        <v>7</v>
      </c>
      <c r="K15" s="12">
        <f t="shared" si="2"/>
        <v>672044.28571428568</v>
      </c>
    </row>
    <row r="16" spans="1:14" ht="24" customHeight="1">
      <c r="A16" t="s">
        <v>22</v>
      </c>
      <c r="B16" s="3">
        <f t="shared" si="3"/>
        <v>313620.66666666669</v>
      </c>
      <c r="C16" s="3">
        <f t="shared" si="3"/>
        <v>46584.333333333336</v>
      </c>
      <c r="D16" s="3">
        <f t="shared" si="3"/>
        <v>277213.73333333334</v>
      </c>
      <c r="E16">
        <v>15</v>
      </c>
      <c r="H16" s="9">
        <v>15</v>
      </c>
      <c r="I16" s="10" t="str">
        <f t="shared" si="0"/>
        <v>FIDESZ-KDNP</v>
      </c>
      <c r="J16" s="11">
        <f t="shared" si="1"/>
        <v>7.0000000000000009</v>
      </c>
      <c r="K16" s="12">
        <f t="shared" si="2"/>
        <v>594029.42857142852</v>
      </c>
    </row>
    <row r="17" spans="1:11" ht="24" customHeight="1">
      <c r="A17" t="s">
        <v>23</v>
      </c>
      <c r="B17" s="3">
        <f t="shared" si="3"/>
        <v>294019.375</v>
      </c>
      <c r="C17" s="3">
        <f t="shared" si="3"/>
        <v>43672.8125</v>
      </c>
      <c r="D17" s="3">
        <f t="shared" si="3"/>
        <v>259887.875</v>
      </c>
      <c r="E17">
        <v>16</v>
      </c>
      <c r="H17" s="9">
        <v>16</v>
      </c>
      <c r="I17" s="10" t="str">
        <f t="shared" si="0"/>
        <v>TISZA</v>
      </c>
      <c r="J17" s="11">
        <f t="shared" si="1"/>
        <v>8</v>
      </c>
      <c r="K17" s="12">
        <f t="shared" si="2"/>
        <v>588038.75</v>
      </c>
    </row>
    <row r="18" spans="1:11" ht="24" customHeight="1">
      <c r="A18" t="s">
        <v>24</v>
      </c>
      <c r="B18" s="3">
        <f t="shared" si="3"/>
        <v>276724.1176470588</v>
      </c>
      <c r="C18" s="3">
        <f t="shared" si="3"/>
        <v>41103.823529411762</v>
      </c>
      <c r="D18" s="3">
        <f t="shared" si="3"/>
        <v>244600.35294117648</v>
      </c>
      <c r="E18">
        <v>17</v>
      </c>
      <c r="H18" s="9">
        <v>17</v>
      </c>
      <c r="I18" s="10" t="str">
        <f t="shared" si="0"/>
        <v>TISZA</v>
      </c>
      <c r="J18" s="11">
        <f t="shared" si="1"/>
        <v>9</v>
      </c>
      <c r="K18" s="12">
        <f t="shared" si="2"/>
        <v>522701.11111111112</v>
      </c>
    </row>
    <row r="19" spans="1:11" ht="24" customHeight="1">
      <c r="A19" t="s">
        <v>25</v>
      </c>
      <c r="B19" s="3">
        <f t="shared" si="3"/>
        <v>261350.55555555556</v>
      </c>
      <c r="C19" s="3">
        <f t="shared" si="3"/>
        <v>38820.277777777781</v>
      </c>
      <c r="D19" s="3">
        <f t="shared" si="3"/>
        <v>231011.44444444444</v>
      </c>
      <c r="E19">
        <v>18</v>
      </c>
      <c r="H19" s="9">
        <v>18</v>
      </c>
      <c r="I19" s="10" t="str">
        <f t="shared" si="0"/>
        <v>FIDESZ-KDNP</v>
      </c>
      <c r="J19" s="11">
        <f t="shared" si="1"/>
        <v>8</v>
      </c>
      <c r="K19" s="12">
        <f t="shared" si="2"/>
        <v>519775.75</v>
      </c>
    </row>
    <row r="20" spans="1:11" ht="24" customHeight="1">
      <c r="A20" t="s">
        <v>26</v>
      </c>
      <c r="B20" s="3">
        <f t="shared" si="3"/>
        <v>247595.26315789475</v>
      </c>
      <c r="C20" s="3">
        <f t="shared" si="3"/>
        <v>36777.105263157893</v>
      </c>
      <c r="D20" s="3">
        <f t="shared" si="3"/>
        <v>218852.94736842104</v>
      </c>
      <c r="E20">
        <v>19</v>
      </c>
      <c r="H20" s="9">
        <v>19</v>
      </c>
      <c r="I20" s="10" t="str">
        <f t="shared" si="0"/>
        <v>TISZA</v>
      </c>
      <c r="J20" s="11">
        <f t="shared" si="1"/>
        <v>10</v>
      </c>
      <c r="K20" s="12">
        <f t="shared" si="2"/>
        <v>470431</v>
      </c>
    </row>
    <row r="21" spans="1:11" ht="24" customHeight="1">
      <c r="A21" t="s">
        <v>27</v>
      </c>
      <c r="B21" s="3">
        <f t="shared" si="3"/>
        <v>235215.5</v>
      </c>
      <c r="C21" s="3">
        <f t="shared" si="3"/>
        <v>34938.25</v>
      </c>
      <c r="D21" s="3">
        <f t="shared" si="3"/>
        <v>207910.3</v>
      </c>
      <c r="E21">
        <v>20</v>
      </c>
      <c r="H21" s="9">
        <v>20</v>
      </c>
      <c r="I21" s="10" t="str">
        <f t="shared" si="0"/>
        <v>FIDESZ-KDNP</v>
      </c>
      <c r="J21" s="11">
        <f t="shared" si="1"/>
        <v>9</v>
      </c>
      <c r="K21" s="12">
        <f t="shared" si="2"/>
        <v>462022.88888888888</v>
      </c>
    </row>
    <row r="22" spans="1:11" ht="24" customHeight="1">
      <c r="A22" t="s">
        <v>28</v>
      </c>
      <c r="B22" s="3">
        <f t="shared" si="3"/>
        <v>224014.76190476189</v>
      </c>
      <c r="C22" s="3">
        <f t="shared" si="3"/>
        <v>33274.523809523809</v>
      </c>
      <c r="D22" s="3">
        <f t="shared" si="3"/>
        <v>198009.80952380953</v>
      </c>
      <c r="E22">
        <v>21</v>
      </c>
      <c r="H22" s="9">
        <v>21</v>
      </c>
      <c r="I22" s="10" t="str">
        <f t="shared" si="0"/>
        <v>TISZA</v>
      </c>
      <c r="J22" s="11">
        <f t="shared" si="1"/>
        <v>11</v>
      </c>
      <c r="K22" s="12">
        <f t="shared" si="2"/>
        <v>427664.54545454547</v>
      </c>
    </row>
    <row r="23" spans="1:11" ht="24" customHeight="1">
      <c r="A23" t="s">
        <v>29</v>
      </c>
      <c r="B23" s="3">
        <f t="shared" ref="B23:D42" si="4">B$2/$E23</f>
        <v>213832.27272727274</v>
      </c>
      <c r="C23" s="3">
        <f t="shared" si="4"/>
        <v>31762.045454545456</v>
      </c>
      <c r="D23" s="3">
        <f t="shared" si="4"/>
        <v>189009.36363636365</v>
      </c>
      <c r="E23">
        <v>22</v>
      </c>
      <c r="H23" s="9">
        <v>22</v>
      </c>
      <c r="I23" s="10" t="str">
        <f t="shared" si="0"/>
        <v>FIDESZ-KDNP</v>
      </c>
      <c r="J23" s="11">
        <f t="shared" si="1"/>
        <v>10</v>
      </c>
      <c r="K23" s="12">
        <f t="shared" si="2"/>
        <v>415820.6</v>
      </c>
    </row>
    <row r="24" spans="1:11" ht="24" customHeight="1">
      <c r="A24" t="s">
        <v>30</v>
      </c>
      <c r="B24" s="3">
        <f t="shared" si="4"/>
        <v>204535.21739130435</v>
      </c>
      <c r="C24" s="3">
        <f t="shared" si="4"/>
        <v>30381.08695652174</v>
      </c>
      <c r="D24" s="3">
        <f t="shared" si="4"/>
        <v>180791.5652173913</v>
      </c>
      <c r="E24">
        <v>23</v>
      </c>
      <c r="H24" s="9">
        <v>23</v>
      </c>
      <c r="I24" s="10" t="str">
        <f t="shared" si="0"/>
        <v>TISZA</v>
      </c>
      <c r="J24" s="11">
        <f t="shared" si="1"/>
        <v>12</v>
      </c>
      <c r="K24" s="12">
        <f t="shared" si="2"/>
        <v>392025.83333333331</v>
      </c>
    </row>
    <row r="25" spans="1:11" ht="24" customHeight="1">
      <c r="A25" t="s">
        <v>31</v>
      </c>
      <c r="B25" s="3">
        <f t="shared" si="4"/>
        <v>196012.91666666666</v>
      </c>
      <c r="C25" s="3">
        <f t="shared" si="4"/>
        <v>29115.208333333332</v>
      </c>
      <c r="D25" s="3">
        <f t="shared" si="4"/>
        <v>173258.58333333334</v>
      </c>
      <c r="E25">
        <v>24</v>
      </c>
      <c r="H25" s="9">
        <v>24</v>
      </c>
      <c r="I25" s="10" t="str">
        <f t="shared" si="0"/>
        <v>FIDESZ-KDNP</v>
      </c>
      <c r="J25" s="11">
        <f t="shared" si="1"/>
        <v>11</v>
      </c>
      <c r="K25" s="12">
        <f t="shared" si="2"/>
        <v>378018.72727272729</v>
      </c>
    </row>
    <row r="26" spans="1:11" ht="24" customHeight="1">
      <c r="A26" t="s">
        <v>32</v>
      </c>
      <c r="B26" s="3">
        <f t="shared" si="4"/>
        <v>188172.4</v>
      </c>
      <c r="C26" s="3">
        <f t="shared" si="4"/>
        <v>27950.6</v>
      </c>
      <c r="D26" s="3">
        <f t="shared" si="4"/>
        <v>166328.24</v>
      </c>
      <c r="E26">
        <v>25</v>
      </c>
      <c r="H26" s="9">
        <v>25</v>
      </c>
      <c r="I26" s="10" t="str">
        <f t="shared" si="0"/>
        <v>TISZA</v>
      </c>
      <c r="J26" s="11">
        <f t="shared" si="1"/>
        <v>13</v>
      </c>
      <c r="K26" s="12">
        <f t="shared" si="2"/>
        <v>361870</v>
      </c>
    </row>
    <row r="27" spans="1:11" ht="24" customHeight="1">
      <c r="A27" t="s">
        <v>33</v>
      </c>
      <c r="B27" s="3">
        <f t="shared" si="4"/>
        <v>180935</v>
      </c>
      <c r="C27" s="3">
        <f t="shared" si="4"/>
        <v>26875.576923076922</v>
      </c>
      <c r="D27" s="3">
        <f t="shared" si="4"/>
        <v>159931</v>
      </c>
      <c r="E27">
        <v>26</v>
      </c>
      <c r="H27" s="9">
        <v>26</v>
      </c>
      <c r="I27" s="10" t="str">
        <f t="shared" si="0"/>
        <v>Mi Hazánk</v>
      </c>
      <c r="J27" s="11">
        <f t="shared" si="1"/>
        <v>2</v>
      </c>
      <c r="K27" s="12">
        <f t="shared" si="2"/>
        <v>349382.5</v>
      </c>
    </row>
    <row r="28" spans="1:11" ht="24" customHeight="1">
      <c r="A28" t="s">
        <v>34</v>
      </c>
      <c r="B28" s="3">
        <f t="shared" si="4"/>
        <v>174233.70370370371</v>
      </c>
      <c r="C28" s="3">
        <f t="shared" si="4"/>
        <v>25880.185185185186</v>
      </c>
      <c r="D28" s="3">
        <f t="shared" si="4"/>
        <v>154007.62962962964</v>
      </c>
      <c r="E28">
        <v>27</v>
      </c>
      <c r="H28" s="9">
        <v>27</v>
      </c>
      <c r="I28" s="10" t="str">
        <f t="shared" si="0"/>
        <v>FIDESZ-KDNP</v>
      </c>
      <c r="J28" s="11">
        <f t="shared" si="1"/>
        <v>12</v>
      </c>
      <c r="K28" s="12">
        <f t="shared" si="2"/>
        <v>346517.16666666669</v>
      </c>
    </row>
    <row r="29" spans="1:11" ht="24" customHeight="1">
      <c r="A29" t="s">
        <v>35</v>
      </c>
      <c r="B29" s="3">
        <f t="shared" si="4"/>
        <v>168011.07142857142</v>
      </c>
      <c r="C29" s="3">
        <f t="shared" si="4"/>
        <v>24955.892857142859</v>
      </c>
      <c r="D29" s="3">
        <f t="shared" si="4"/>
        <v>148507.35714285713</v>
      </c>
      <c r="E29">
        <v>28</v>
      </c>
      <c r="H29" s="9">
        <v>28</v>
      </c>
      <c r="I29" s="10" t="str">
        <f t="shared" si="0"/>
        <v>TISZA</v>
      </c>
      <c r="J29" s="11">
        <f t="shared" si="1"/>
        <v>14</v>
      </c>
      <c r="K29" s="12">
        <f t="shared" si="2"/>
        <v>336022.14285714284</v>
      </c>
    </row>
    <row r="30" spans="1:11" ht="24" customHeight="1">
      <c r="A30" t="s">
        <v>36</v>
      </c>
      <c r="B30" s="3">
        <f t="shared" si="4"/>
        <v>162217.58620689655</v>
      </c>
      <c r="C30" s="3">
        <f t="shared" si="4"/>
        <v>24095.344827586207</v>
      </c>
      <c r="D30" s="3">
        <f t="shared" si="4"/>
        <v>143386.41379310345</v>
      </c>
      <c r="E30">
        <v>29</v>
      </c>
      <c r="H30" s="9">
        <v>29</v>
      </c>
      <c r="I30" s="10" t="str">
        <f t="shared" si="0"/>
        <v>FIDESZ-KDNP</v>
      </c>
      <c r="J30" s="11">
        <f t="shared" si="1"/>
        <v>13</v>
      </c>
      <c r="K30" s="12">
        <f t="shared" si="2"/>
        <v>319862</v>
      </c>
    </row>
    <row r="31" spans="1:11" ht="24" customHeight="1">
      <c r="A31" t="s">
        <v>37</v>
      </c>
      <c r="B31" s="3">
        <f t="shared" si="4"/>
        <v>156810.33333333334</v>
      </c>
      <c r="C31" s="3">
        <f t="shared" si="4"/>
        <v>23292.166666666668</v>
      </c>
      <c r="D31" s="3">
        <f t="shared" si="4"/>
        <v>138606.86666666667</v>
      </c>
      <c r="E31">
        <v>30</v>
      </c>
      <c r="H31" s="9">
        <v>30</v>
      </c>
      <c r="I31" s="10" t="str">
        <f t="shared" si="0"/>
        <v>TISZA</v>
      </c>
      <c r="J31" s="11">
        <f t="shared" si="1"/>
        <v>14.999999999999998</v>
      </c>
      <c r="K31" s="12">
        <f t="shared" si="2"/>
        <v>313620.66666666669</v>
      </c>
    </row>
    <row r="32" spans="1:11" ht="24" customHeight="1">
      <c r="A32" t="s">
        <v>38</v>
      </c>
      <c r="B32" s="3">
        <f t="shared" si="4"/>
        <v>151751.93548387097</v>
      </c>
      <c r="C32" s="3">
        <f t="shared" si="4"/>
        <v>22540.806451612902</v>
      </c>
      <c r="D32" s="3">
        <f t="shared" si="4"/>
        <v>134135.67741935485</v>
      </c>
      <c r="E32">
        <v>31</v>
      </c>
      <c r="H32" s="9">
        <v>31</v>
      </c>
      <c r="I32" s="10" t="str">
        <f t="shared" si="0"/>
        <v>FIDESZ-KDNP</v>
      </c>
      <c r="J32" s="11">
        <f t="shared" si="1"/>
        <v>14.000000000000002</v>
      </c>
      <c r="K32" s="12">
        <f t="shared" si="2"/>
        <v>297014.71428571426</v>
      </c>
    </row>
    <row r="33" spans="1:11" ht="24" customHeight="1">
      <c r="A33" t="s">
        <v>39</v>
      </c>
      <c r="B33" s="3">
        <f t="shared" si="4"/>
        <v>147009.6875</v>
      </c>
      <c r="C33" s="3">
        <f t="shared" si="4"/>
        <v>21836.40625</v>
      </c>
      <c r="D33" s="3">
        <f t="shared" si="4"/>
        <v>129943.9375</v>
      </c>
      <c r="E33">
        <v>32</v>
      </c>
      <c r="H33" s="9">
        <v>32</v>
      </c>
      <c r="I33" s="10" t="str">
        <f t="shared" si="0"/>
        <v>TISZA</v>
      </c>
      <c r="J33" s="11">
        <f t="shared" si="1"/>
        <v>16</v>
      </c>
      <c r="K33" s="12">
        <f t="shared" si="2"/>
        <v>294019.375</v>
      </c>
    </row>
    <row r="34" spans="1:11" ht="24" customHeight="1">
      <c r="A34" t="s">
        <v>40</v>
      </c>
      <c r="B34" s="3">
        <f t="shared" si="4"/>
        <v>142554.84848484848</v>
      </c>
      <c r="C34" s="3">
        <f t="shared" si="4"/>
        <v>21174.696969696968</v>
      </c>
      <c r="D34" s="3">
        <f t="shared" si="4"/>
        <v>126006.24242424243</v>
      </c>
      <c r="E34">
        <v>33</v>
      </c>
      <c r="H34" s="9">
        <v>33</v>
      </c>
      <c r="I34" s="10" t="str">
        <f t="shared" si="0"/>
        <v>FIDESZ-KDNP</v>
      </c>
      <c r="J34" s="11">
        <f t="shared" si="1"/>
        <v>15</v>
      </c>
      <c r="K34" s="12">
        <f t="shared" si="2"/>
        <v>277213.73333333334</v>
      </c>
    </row>
    <row r="35" spans="1:11" ht="24" customHeight="1">
      <c r="A35" t="s">
        <v>41</v>
      </c>
      <c r="B35" s="3">
        <f t="shared" si="4"/>
        <v>138362.0588235294</v>
      </c>
      <c r="C35" s="3">
        <f t="shared" si="4"/>
        <v>20551.911764705881</v>
      </c>
      <c r="D35" s="3">
        <f t="shared" si="4"/>
        <v>122300.17647058824</v>
      </c>
      <c r="E35">
        <v>34</v>
      </c>
      <c r="H35" s="9">
        <v>34</v>
      </c>
      <c r="I35" s="10" t="str">
        <f t="shared" si="0"/>
        <v>TISZA</v>
      </c>
      <c r="J35" s="11">
        <f t="shared" si="1"/>
        <v>17</v>
      </c>
      <c r="K35" s="12">
        <f t="shared" si="2"/>
        <v>276724.1176470588</v>
      </c>
    </row>
    <row r="36" spans="1:11" ht="24" customHeight="1">
      <c r="A36" t="s">
        <v>42</v>
      </c>
      <c r="B36" s="3">
        <f t="shared" si="4"/>
        <v>134408.85714285713</v>
      </c>
      <c r="C36" s="3">
        <f t="shared" si="4"/>
        <v>19964.714285714286</v>
      </c>
      <c r="D36" s="3">
        <f t="shared" si="4"/>
        <v>118805.88571428572</v>
      </c>
      <c r="E36">
        <v>35</v>
      </c>
      <c r="H36" s="9">
        <v>35</v>
      </c>
      <c r="I36" s="10" t="str">
        <f t="shared" si="0"/>
        <v>TISZA</v>
      </c>
      <c r="J36" s="11">
        <f t="shared" si="1"/>
        <v>18</v>
      </c>
      <c r="K36" s="12">
        <f t="shared" si="2"/>
        <v>261350.55555555556</v>
      </c>
    </row>
    <row r="37" spans="1:11" ht="24" customHeight="1">
      <c r="A37" t="s">
        <v>43</v>
      </c>
      <c r="B37" s="3">
        <f t="shared" si="4"/>
        <v>130675.27777777778</v>
      </c>
      <c r="C37" s="3">
        <f t="shared" si="4"/>
        <v>19410.138888888891</v>
      </c>
      <c r="D37" s="3">
        <f t="shared" si="4"/>
        <v>115505.72222222222</v>
      </c>
      <c r="E37">
        <v>36</v>
      </c>
      <c r="H37" s="9">
        <v>36</v>
      </c>
      <c r="I37" s="10" t="str">
        <f t="shared" si="0"/>
        <v>FIDESZ-KDNP</v>
      </c>
      <c r="J37" s="11">
        <f t="shared" si="1"/>
        <v>16</v>
      </c>
      <c r="K37" s="12">
        <f t="shared" si="2"/>
        <v>259887.875</v>
      </c>
    </row>
    <row r="38" spans="1:11" ht="24" customHeight="1">
      <c r="A38" t="s">
        <v>44</v>
      </c>
      <c r="B38" s="3">
        <f t="shared" si="4"/>
        <v>127143.51351351352</v>
      </c>
      <c r="C38" s="3">
        <f t="shared" si="4"/>
        <v>18885.54054054054</v>
      </c>
      <c r="D38" s="3">
        <f t="shared" si="4"/>
        <v>112383.94594594595</v>
      </c>
      <c r="E38">
        <v>37</v>
      </c>
      <c r="H38" s="9">
        <v>37</v>
      </c>
      <c r="I38" s="10" t="str">
        <f t="shared" si="0"/>
        <v>TISZA</v>
      </c>
      <c r="J38" s="11">
        <f t="shared" si="1"/>
        <v>19</v>
      </c>
      <c r="K38" s="12">
        <f t="shared" si="2"/>
        <v>247595.26315789475</v>
      </c>
    </row>
    <row r="39" spans="1:11" ht="24" customHeight="1">
      <c r="A39" t="s">
        <v>45</v>
      </c>
      <c r="B39" s="3">
        <f t="shared" si="4"/>
        <v>123797.63157894737</v>
      </c>
      <c r="C39" s="3">
        <f t="shared" si="4"/>
        <v>18388.552631578947</v>
      </c>
      <c r="D39" s="3">
        <f t="shared" si="4"/>
        <v>109426.47368421052</v>
      </c>
      <c r="E39">
        <v>38</v>
      </c>
      <c r="H39" s="9">
        <v>38</v>
      </c>
      <c r="I39" s="10" t="str">
        <f t="shared" si="0"/>
        <v>FIDESZ-KDNP</v>
      </c>
      <c r="J39" s="11">
        <f t="shared" si="1"/>
        <v>17</v>
      </c>
      <c r="K39" s="12">
        <f t="shared" si="2"/>
        <v>244600.35294117648</v>
      </c>
    </row>
    <row r="40" spans="1:11" ht="24" customHeight="1">
      <c r="A40" t="s">
        <v>46</v>
      </c>
      <c r="B40" s="3">
        <f t="shared" si="4"/>
        <v>120623.33333333333</v>
      </c>
      <c r="C40" s="3">
        <f t="shared" si="4"/>
        <v>17917.051282051281</v>
      </c>
      <c r="D40" s="3">
        <f t="shared" si="4"/>
        <v>106620.66666666667</v>
      </c>
      <c r="E40">
        <v>39</v>
      </c>
      <c r="H40" s="9">
        <v>39</v>
      </c>
      <c r="I40" s="10" t="str">
        <f t="shared" si="0"/>
        <v>TISZA</v>
      </c>
      <c r="J40" s="11">
        <f t="shared" si="1"/>
        <v>20</v>
      </c>
      <c r="K40" s="12">
        <f t="shared" si="2"/>
        <v>235215.5</v>
      </c>
    </row>
    <row r="41" spans="1:11" ht="24" customHeight="1">
      <c r="A41" t="s">
        <v>47</v>
      </c>
      <c r="B41" s="3">
        <f t="shared" si="4"/>
        <v>117607.75</v>
      </c>
      <c r="C41" s="3">
        <f t="shared" si="4"/>
        <v>17469.125</v>
      </c>
      <c r="D41" s="3">
        <f t="shared" si="4"/>
        <v>103955.15</v>
      </c>
      <c r="E41">
        <v>40</v>
      </c>
      <c r="H41" s="9">
        <v>40</v>
      </c>
      <c r="I41" s="10" t="str">
        <f t="shared" si="0"/>
        <v>Mi Hazánk</v>
      </c>
      <c r="J41" s="11">
        <f t="shared" si="1"/>
        <v>3</v>
      </c>
      <c r="K41" s="12">
        <f t="shared" si="2"/>
        <v>232921.66666666666</v>
      </c>
    </row>
    <row r="42" spans="1:11" ht="24" customHeight="1">
      <c r="A42" t="s">
        <v>48</v>
      </c>
      <c r="B42" s="3">
        <f t="shared" si="4"/>
        <v>114739.26829268293</v>
      </c>
      <c r="C42" s="3">
        <f t="shared" si="4"/>
        <v>17043.048780487807</v>
      </c>
      <c r="D42" s="3">
        <f t="shared" si="4"/>
        <v>101419.65853658537</v>
      </c>
      <c r="E42">
        <v>41</v>
      </c>
      <c r="H42" s="9">
        <v>41</v>
      </c>
      <c r="I42" s="10" t="str">
        <f t="shared" si="0"/>
        <v>FIDESZ-KDNP</v>
      </c>
      <c r="J42" s="11">
        <f t="shared" si="1"/>
        <v>18</v>
      </c>
      <c r="K42" s="12">
        <f t="shared" si="2"/>
        <v>231011.44444444444</v>
      </c>
    </row>
    <row r="43" spans="1:11" ht="24" customHeight="1">
      <c r="A43" t="s">
        <v>49</v>
      </c>
      <c r="B43" s="3">
        <f t="shared" ref="B43:D62" si="5">B$2/$E43</f>
        <v>112007.38095238095</v>
      </c>
      <c r="C43" s="3">
        <f t="shared" si="5"/>
        <v>16637.261904761905</v>
      </c>
      <c r="D43" s="3">
        <f t="shared" si="5"/>
        <v>99004.904761904763</v>
      </c>
      <c r="E43">
        <v>42</v>
      </c>
      <c r="H43" s="9">
        <v>42</v>
      </c>
      <c r="I43" s="10" t="str">
        <f t="shared" si="0"/>
        <v>TISZA</v>
      </c>
      <c r="J43" s="11">
        <f t="shared" si="1"/>
        <v>21</v>
      </c>
      <c r="K43" s="12">
        <f t="shared" si="2"/>
        <v>224014.76190476189</v>
      </c>
    </row>
    <row r="44" spans="1:11" ht="24" customHeight="1">
      <c r="A44" t="s">
        <v>50</v>
      </c>
      <c r="B44" s="3">
        <f t="shared" si="5"/>
        <v>109402.55813953489</v>
      </c>
      <c r="C44" s="3">
        <f t="shared" si="5"/>
        <v>16250.348837209302</v>
      </c>
      <c r="D44" s="3">
        <f t="shared" si="5"/>
        <v>96702.465116279069</v>
      </c>
      <c r="E44">
        <v>43</v>
      </c>
      <c r="H44" s="9">
        <v>43</v>
      </c>
      <c r="I44" s="10" t="str">
        <f t="shared" si="0"/>
        <v>FIDESZ-KDNP</v>
      </c>
      <c r="J44" s="11">
        <f t="shared" si="1"/>
        <v>19</v>
      </c>
      <c r="K44" s="12">
        <f t="shared" si="2"/>
        <v>218852.94736842104</v>
      </c>
    </row>
    <row r="45" spans="1:11" ht="24" customHeight="1">
      <c r="A45" t="s">
        <v>51</v>
      </c>
      <c r="B45" s="3">
        <f t="shared" si="5"/>
        <v>106916.13636363637</v>
      </c>
      <c r="C45" s="3">
        <f t="shared" si="5"/>
        <v>15881.022727272728</v>
      </c>
      <c r="D45" s="3">
        <f t="shared" si="5"/>
        <v>94504.681818181823</v>
      </c>
      <c r="E45">
        <v>44</v>
      </c>
      <c r="H45" s="9">
        <v>44</v>
      </c>
      <c r="I45" s="10" t="str">
        <f t="shared" si="0"/>
        <v>TISZA</v>
      </c>
      <c r="J45" s="11">
        <f t="shared" si="1"/>
        <v>22</v>
      </c>
      <c r="K45" s="12">
        <f t="shared" si="2"/>
        <v>213832.27272727274</v>
      </c>
    </row>
    <row r="46" spans="1:11" ht="24" customHeight="1">
      <c r="A46" t="s">
        <v>52</v>
      </c>
      <c r="B46" s="3">
        <f t="shared" si="5"/>
        <v>104540.22222222222</v>
      </c>
      <c r="C46" s="3">
        <f t="shared" si="5"/>
        <v>15528.111111111111</v>
      </c>
      <c r="D46" s="3">
        <f t="shared" si="5"/>
        <v>92404.577777777784</v>
      </c>
      <c r="E46">
        <v>45</v>
      </c>
      <c r="H46" s="9">
        <v>45</v>
      </c>
      <c r="I46" s="10" t="str">
        <f t="shared" si="0"/>
        <v>FIDESZ-KDNP</v>
      </c>
      <c r="J46" s="11">
        <f t="shared" si="1"/>
        <v>20</v>
      </c>
      <c r="K46" s="12">
        <f t="shared" si="2"/>
        <v>207910.3</v>
      </c>
    </row>
    <row r="47" spans="1:11" ht="24" customHeight="1">
      <c r="A47" t="s">
        <v>53</v>
      </c>
      <c r="B47" s="3">
        <f t="shared" si="5"/>
        <v>102267.60869565218</v>
      </c>
      <c r="C47" s="3">
        <f t="shared" si="5"/>
        <v>15190.54347826087</v>
      </c>
      <c r="D47" s="3">
        <f t="shared" si="5"/>
        <v>90395.782608695648</v>
      </c>
      <c r="E47">
        <v>46</v>
      </c>
      <c r="H47" s="9">
        <v>46</v>
      </c>
      <c r="I47" s="10" t="str">
        <f t="shared" si="0"/>
        <v>TISZA</v>
      </c>
      <c r="J47" s="11">
        <f t="shared" si="1"/>
        <v>23</v>
      </c>
      <c r="K47" s="12">
        <f t="shared" si="2"/>
        <v>204535.21739130435</v>
      </c>
    </row>
    <row r="48" spans="1:11" ht="24" customHeight="1">
      <c r="A48" t="s">
        <v>54</v>
      </c>
      <c r="B48" s="3">
        <f t="shared" si="5"/>
        <v>100091.70212765958</v>
      </c>
      <c r="C48" s="3">
        <f t="shared" si="5"/>
        <v>14867.340425531915</v>
      </c>
      <c r="D48" s="3">
        <f t="shared" si="5"/>
        <v>88472.468085106389</v>
      </c>
      <c r="E48">
        <v>47</v>
      </c>
      <c r="H48" s="9">
        <v>47</v>
      </c>
      <c r="I48" s="10" t="str">
        <f t="shared" si="0"/>
        <v>FIDESZ-KDNP</v>
      </c>
      <c r="J48" s="11">
        <f t="shared" si="1"/>
        <v>21</v>
      </c>
      <c r="K48" s="12">
        <f t="shared" si="2"/>
        <v>198009.80952380953</v>
      </c>
    </row>
    <row r="49" spans="1:11" ht="24" customHeight="1">
      <c r="A49" t="s">
        <v>55</v>
      </c>
      <c r="B49" s="3">
        <f t="shared" si="5"/>
        <v>98006.458333333328</v>
      </c>
      <c r="C49" s="3">
        <f t="shared" si="5"/>
        <v>14557.604166666666</v>
      </c>
      <c r="D49" s="3">
        <f t="shared" si="5"/>
        <v>86629.291666666672</v>
      </c>
      <c r="E49">
        <v>48</v>
      </c>
      <c r="H49" s="9">
        <v>48</v>
      </c>
      <c r="I49" s="10" t="str">
        <f t="shared" si="0"/>
        <v>TISZA</v>
      </c>
      <c r="J49" s="11">
        <f t="shared" si="1"/>
        <v>24</v>
      </c>
      <c r="K49" s="12">
        <f t="shared" si="2"/>
        <v>196012.91666666666</v>
      </c>
    </row>
    <row r="50" spans="1:11" ht="24" customHeight="1">
      <c r="A50" t="s">
        <v>56</v>
      </c>
      <c r="B50" s="3">
        <f t="shared" si="5"/>
        <v>96006.326530612248</v>
      </c>
      <c r="C50" s="3">
        <f t="shared" si="5"/>
        <v>14260.510204081633</v>
      </c>
      <c r="D50" s="3">
        <f t="shared" si="5"/>
        <v>84861.346938775503</v>
      </c>
      <c r="E50">
        <v>49</v>
      </c>
      <c r="H50" s="9">
        <v>49</v>
      </c>
      <c r="I50" s="10" t="str">
        <f t="shared" si="0"/>
        <v>FIDESZ-KDNP</v>
      </c>
      <c r="J50" s="11">
        <f t="shared" si="1"/>
        <v>22</v>
      </c>
      <c r="K50" s="12">
        <f t="shared" si="2"/>
        <v>189009.36363636365</v>
      </c>
    </row>
    <row r="51" spans="1:11" ht="24" customHeight="1">
      <c r="A51" t="s">
        <v>57</v>
      </c>
      <c r="B51" s="3">
        <f t="shared" si="5"/>
        <v>94086.2</v>
      </c>
      <c r="C51" s="3">
        <f t="shared" si="5"/>
        <v>13975.3</v>
      </c>
      <c r="D51" s="3">
        <f t="shared" si="5"/>
        <v>83164.12</v>
      </c>
      <c r="E51">
        <v>50</v>
      </c>
      <c r="H51" s="9">
        <v>50</v>
      </c>
      <c r="I51" s="10" t="str">
        <f t="shared" si="0"/>
        <v>TISZA</v>
      </c>
      <c r="J51" s="11">
        <f t="shared" si="1"/>
        <v>25</v>
      </c>
      <c r="K51" s="12">
        <f t="shared" si="2"/>
        <v>188172.4</v>
      </c>
    </row>
    <row r="52" spans="1:11" ht="24" customHeight="1">
      <c r="A52" t="s">
        <v>58</v>
      </c>
      <c r="B52" s="3">
        <f t="shared" si="5"/>
        <v>92241.372549019608</v>
      </c>
      <c r="C52" s="3">
        <f t="shared" si="5"/>
        <v>13701.274509803921</v>
      </c>
      <c r="D52" s="3">
        <f t="shared" si="5"/>
        <v>81533.450980392154</v>
      </c>
      <c r="E52">
        <v>51</v>
      </c>
      <c r="H52" s="9">
        <v>51</v>
      </c>
      <c r="I52" s="10" t="str">
        <f t="shared" si="0"/>
        <v>TISZA</v>
      </c>
      <c r="J52" s="11">
        <f t="shared" si="1"/>
        <v>26</v>
      </c>
      <c r="K52" s="12">
        <f t="shared" si="2"/>
        <v>180935</v>
      </c>
    </row>
    <row r="53" spans="1:11" ht="24" customHeight="1">
      <c r="A53" t="s">
        <v>59</v>
      </c>
      <c r="B53" s="3">
        <f t="shared" si="5"/>
        <v>90467.5</v>
      </c>
      <c r="C53" s="3">
        <f t="shared" si="5"/>
        <v>13437.788461538461</v>
      </c>
      <c r="D53" s="3">
        <f t="shared" si="5"/>
        <v>79965.5</v>
      </c>
      <c r="E53">
        <v>52</v>
      </c>
      <c r="H53" s="9">
        <v>52</v>
      </c>
      <c r="I53" s="10" t="str">
        <f t="shared" si="0"/>
        <v>FIDESZ-KDNP</v>
      </c>
      <c r="J53" s="11">
        <f t="shared" si="1"/>
        <v>23</v>
      </c>
      <c r="K53" s="12">
        <f t="shared" si="2"/>
        <v>180791.5652173913</v>
      </c>
    </row>
    <row r="54" spans="1:11" ht="24" customHeight="1">
      <c r="A54" t="s">
        <v>60</v>
      </c>
      <c r="B54" s="3">
        <f t="shared" si="5"/>
        <v>88760.566037735844</v>
      </c>
      <c r="C54" s="3">
        <f t="shared" si="5"/>
        <v>13184.245283018869</v>
      </c>
      <c r="D54" s="3">
        <f t="shared" si="5"/>
        <v>78456.716981132078</v>
      </c>
      <c r="E54">
        <v>53</v>
      </c>
      <c r="H54" s="9">
        <v>53</v>
      </c>
      <c r="I54" s="10" t="str">
        <f t="shared" si="0"/>
        <v>Mi Hazánk</v>
      </c>
      <c r="J54" s="11">
        <f t="shared" si="1"/>
        <v>4</v>
      </c>
      <c r="K54" s="12">
        <f t="shared" si="2"/>
        <v>174691.25</v>
      </c>
    </row>
    <row r="55" spans="1:11" ht="24" customHeight="1">
      <c r="A55" t="s">
        <v>61</v>
      </c>
      <c r="B55" s="3">
        <f t="shared" si="5"/>
        <v>87116.851851851854</v>
      </c>
      <c r="C55" s="3">
        <f t="shared" si="5"/>
        <v>12940.092592592593</v>
      </c>
      <c r="D55" s="3">
        <f t="shared" si="5"/>
        <v>77003.814814814818</v>
      </c>
      <c r="E55">
        <v>54</v>
      </c>
      <c r="H55" s="9">
        <v>54</v>
      </c>
      <c r="I55" s="10" t="str">
        <f t="shared" si="0"/>
        <v>TISZA</v>
      </c>
      <c r="J55" s="11">
        <f t="shared" si="1"/>
        <v>27</v>
      </c>
      <c r="K55" s="12">
        <f t="shared" si="2"/>
        <v>174233.70370370371</v>
      </c>
    </row>
    <row r="56" spans="1:11" ht="24" customHeight="1">
      <c r="A56" t="s">
        <v>62</v>
      </c>
      <c r="B56" s="3">
        <f t="shared" si="5"/>
        <v>85532.909090909088</v>
      </c>
      <c r="C56" s="3">
        <f t="shared" si="5"/>
        <v>12704.818181818182</v>
      </c>
      <c r="D56" s="3">
        <f t="shared" si="5"/>
        <v>75603.745454545453</v>
      </c>
      <c r="E56">
        <v>55</v>
      </c>
      <c r="H56" s="9">
        <v>55</v>
      </c>
      <c r="I56" s="10" t="str">
        <f t="shared" si="0"/>
        <v>FIDESZ-KDNP</v>
      </c>
      <c r="J56" s="11">
        <f t="shared" si="1"/>
        <v>24</v>
      </c>
      <c r="K56" s="12">
        <f t="shared" si="2"/>
        <v>173258.58333333334</v>
      </c>
    </row>
    <row r="57" spans="1:11" ht="24" customHeight="1">
      <c r="A57" t="s">
        <v>63</v>
      </c>
      <c r="B57" s="3">
        <f t="shared" si="5"/>
        <v>84005.53571428571</v>
      </c>
      <c r="C57" s="3">
        <f t="shared" si="5"/>
        <v>12477.946428571429</v>
      </c>
      <c r="D57" s="3">
        <f t="shared" si="5"/>
        <v>74253.678571428565</v>
      </c>
      <c r="E57">
        <v>56</v>
      </c>
      <c r="H57" s="9">
        <v>56</v>
      </c>
      <c r="I57" s="10" t="str">
        <f t="shared" si="0"/>
        <v>TISZA</v>
      </c>
      <c r="J57" s="11">
        <f t="shared" si="1"/>
        <v>28</v>
      </c>
      <c r="K57" s="12">
        <f t="shared" si="2"/>
        <v>168011.07142857142</v>
      </c>
    </row>
    <row r="58" spans="1:11" ht="24" customHeight="1">
      <c r="A58" t="s">
        <v>64</v>
      </c>
      <c r="B58" s="3">
        <f t="shared" si="5"/>
        <v>82531.754385964916</v>
      </c>
      <c r="C58" s="3">
        <f t="shared" si="5"/>
        <v>12259.035087719298</v>
      </c>
      <c r="D58" s="3">
        <f t="shared" si="5"/>
        <v>72950.982456140351</v>
      </c>
      <c r="E58">
        <v>57</v>
      </c>
      <c r="H58" s="9">
        <v>57</v>
      </c>
      <c r="I58" s="10" t="str">
        <f t="shared" si="0"/>
        <v>FIDESZ-KDNP</v>
      </c>
      <c r="J58" s="11">
        <f t="shared" si="1"/>
        <v>25</v>
      </c>
      <c r="K58" s="12">
        <f t="shared" si="2"/>
        <v>166328.24</v>
      </c>
    </row>
    <row r="59" spans="1:11" ht="24" customHeight="1">
      <c r="A59" t="s">
        <v>65</v>
      </c>
      <c r="B59" s="3">
        <f t="shared" si="5"/>
        <v>81108.793103448275</v>
      </c>
      <c r="C59" s="3">
        <f t="shared" si="5"/>
        <v>12047.672413793103</v>
      </c>
      <c r="D59" s="3">
        <f t="shared" si="5"/>
        <v>71693.206896551725</v>
      </c>
      <c r="E59">
        <v>58</v>
      </c>
      <c r="H59" s="9">
        <v>58</v>
      </c>
      <c r="I59" s="10" t="str">
        <f t="shared" si="0"/>
        <v>TISZA</v>
      </c>
      <c r="J59" s="11">
        <f t="shared" si="1"/>
        <v>29</v>
      </c>
      <c r="K59" s="12">
        <f t="shared" si="2"/>
        <v>162217.58620689655</v>
      </c>
    </row>
    <row r="60" spans="1:11" ht="24" customHeight="1">
      <c r="A60" t="s">
        <v>66</v>
      </c>
      <c r="B60" s="3">
        <f t="shared" si="5"/>
        <v>79734.067796610165</v>
      </c>
      <c r="C60" s="3">
        <f t="shared" si="5"/>
        <v>11843.474576271186</v>
      </c>
      <c r="D60" s="3">
        <f t="shared" si="5"/>
        <v>70478.067796610165</v>
      </c>
      <c r="E60">
        <v>59</v>
      </c>
      <c r="H60" s="9">
        <v>59</v>
      </c>
      <c r="I60" s="10" t="str">
        <f t="shared" si="0"/>
        <v>FIDESZ-KDNP</v>
      </c>
      <c r="J60" s="11">
        <f t="shared" si="1"/>
        <v>26</v>
      </c>
      <c r="K60" s="12">
        <f t="shared" si="2"/>
        <v>159931</v>
      </c>
    </row>
    <row r="61" spans="1:11" ht="24" customHeight="1">
      <c r="A61" t="s">
        <v>67</v>
      </c>
      <c r="B61" s="3">
        <f t="shared" si="5"/>
        <v>78405.166666666672</v>
      </c>
      <c r="C61" s="3">
        <f t="shared" si="5"/>
        <v>11646.083333333334</v>
      </c>
      <c r="D61" s="3">
        <f t="shared" si="5"/>
        <v>69303.433333333334</v>
      </c>
      <c r="E61">
        <v>60</v>
      </c>
      <c r="H61" s="9">
        <v>60</v>
      </c>
      <c r="I61" s="10" t="str">
        <f t="shared" si="0"/>
        <v>TISZA</v>
      </c>
      <c r="J61" s="11">
        <f t="shared" si="1"/>
        <v>29.999999999999996</v>
      </c>
      <c r="K61" s="12">
        <f t="shared" si="2"/>
        <v>156810.33333333334</v>
      </c>
    </row>
    <row r="62" spans="1:11" ht="24" customHeight="1">
      <c r="A62" t="s">
        <v>68</v>
      </c>
      <c r="B62" s="3">
        <f t="shared" si="5"/>
        <v>77119.836065573763</v>
      </c>
      <c r="C62" s="3">
        <f t="shared" si="5"/>
        <v>11455.163934426229</v>
      </c>
      <c r="D62" s="3">
        <f t="shared" si="5"/>
        <v>68167.311475409835</v>
      </c>
      <c r="E62">
        <v>61</v>
      </c>
      <c r="H62" s="9">
        <v>61</v>
      </c>
      <c r="I62" s="10" t="str">
        <f t="shared" si="0"/>
        <v>FIDESZ-KDNP</v>
      </c>
      <c r="J62" s="11">
        <f t="shared" si="1"/>
        <v>27</v>
      </c>
      <c r="K62" s="12">
        <f t="shared" si="2"/>
        <v>154007.62962962964</v>
      </c>
    </row>
    <row r="63" spans="1:11" ht="24" customHeight="1">
      <c r="A63" t="s">
        <v>69</v>
      </c>
      <c r="B63" s="3">
        <f t="shared" ref="B63:D82" si="6">B$2/$E63</f>
        <v>75875.967741935485</v>
      </c>
      <c r="C63" s="3">
        <f t="shared" si="6"/>
        <v>11270.403225806451</v>
      </c>
      <c r="D63" s="3">
        <f t="shared" si="6"/>
        <v>67067.838709677424</v>
      </c>
      <c r="E63">
        <v>62</v>
      </c>
      <c r="H63" s="9">
        <v>62</v>
      </c>
      <c r="I63" s="10" t="str">
        <f t="shared" si="0"/>
        <v>TISZA</v>
      </c>
      <c r="J63" s="11">
        <f t="shared" si="1"/>
        <v>31</v>
      </c>
      <c r="K63" s="12">
        <f t="shared" si="2"/>
        <v>151751.93548387097</v>
      </c>
    </row>
    <row r="64" spans="1:11" ht="24" customHeight="1">
      <c r="A64" t="s">
        <v>70</v>
      </c>
      <c r="B64" s="3">
        <f t="shared" si="6"/>
        <v>74671.587301587308</v>
      </c>
      <c r="C64" s="3">
        <f t="shared" si="6"/>
        <v>11091.507936507936</v>
      </c>
      <c r="D64" s="3">
        <f t="shared" si="6"/>
        <v>66003.269841269837</v>
      </c>
      <c r="E64">
        <v>63</v>
      </c>
      <c r="H64" s="9">
        <v>63</v>
      </c>
      <c r="I64" s="10" t="str">
        <f t="shared" si="0"/>
        <v>FIDESZ-KDNP</v>
      </c>
      <c r="J64" s="11">
        <f t="shared" si="1"/>
        <v>28.000000000000004</v>
      </c>
      <c r="K64" s="12">
        <f t="shared" si="2"/>
        <v>148507.35714285713</v>
      </c>
    </row>
    <row r="65" spans="1:11" ht="24" customHeight="1">
      <c r="A65" t="s">
        <v>71</v>
      </c>
      <c r="B65" s="3">
        <f t="shared" si="6"/>
        <v>73504.84375</v>
      </c>
      <c r="C65" s="3">
        <f t="shared" si="6"/>
        <v>10918.203125</v>
      </c>
      <c r="D65" s="3">
        <f t="shared" si="6"/>
        <v>64971.96875</v>
      </c>
      <c r="E65">
        <v>64</v>
      </c>
      <c r="H65" s="9">
        <v>64</v>
      </c>
      <c r="I65" s="10" t="str">
        <f t="shared" si="0"/>
        <v>TISZA</v>
      </c>
      <c r="J65" s="11">
        <f t="shared" si="1"/>
        <v>32</v>
      </c>
      <c r="K65" s="12">
        <f t="shared" si="2"/>
        <v>147009.6875</v>
      </c>
    </row>
    <row r="66" spans="1:11" ht="24" customHeight="1">
      <c r="A66" t="s">
        <v>72</v>
      </c>
      <c r="B66" s="3">
        <f t="shared" si="6"/>
        <v>72374</v>
      </c>
      <c r="C66" s="3">
        <f t="shared" si="6"/>
        <v>10750.23076923077</v>
      </c>
      <c r="D66" s="3">
        <f t="shared" si="6"/>
        <v>63972.4</v>
      </c>
      <c r="E66">
        <v>65</v>
      </c>
      <c r="H66" s="9">
        <v>65</v>
      </c>
      <c r="I66" s="10" t="str">
        <f t="shared" ref="I66:I94" si="7">IF(COUNTIF($B$2:$B$94,K66)&gt;0,"TISZA",IF(COUNTIF($C$2:$C$94,K66)&gt;0,"Mi Hazánk","FIDESZ-KDNP"))</f>
        <v>FIDESZ-KDNP</v>
      </c>
      <c r="J66" s="11">
        <f t="shared" ref="J66:J94" si="8">IF(I66="TISZA",$B$2/K66,IF(I66="Mi Hazánk",$C$2/K66,$D$2/K66))</f>
        <v>29</v>
      </c>
      <c r="K66" s="12">
        <f t="shared" ref="K66:K94" si="9">LARGE($B$2:$D$94,H66)</f>
        <v>143386.41379310345</v>
      </c>
    </row>
    <row r="67" spans="1:11" ht="24" customHeight="1">
      <c r="A67" t="s">
        <v>73</v>
      </c>
      <c r="B67" s="3">
        <f t="shared" si="6"/>
        <v>71277.42424242424</v>
      </c>
      <c r="C67" s="3">
        <f t="shared" si="6"/>
        <v>10587.348484848484</v>
      </c>
      <c r="D67" s="3">
        <f t="shared" si="6"/>
        <v>63003.121212121216</v>
      </c>
      <c r="E67">
        <v>66</v>
      </c>
      <c r="H67" s="9">
        <v>66</v>
      </c>
      <c r="I67" s="10" t="str">
        <f t="shared" si="7"/>
        <v>TISZA</v>
      </c>
      <c r="J67" s="11">
        <f t="shared" si="8"/>
        <v>33</v>
      </c>
      <c r="K67" s="12">
        <f t="shared" si="9"/>
        <v>142554.84848484848</v>
      </c>
    </row>
    <row r="68" spans="1:11" ht="24" customHeight="1">
      <c r="A68" t="s">
        <v>74</v>
      </c>
      <c r="B68" s="3">
        <f t="shared" si="6"/>
        <v>70213.582089552234</v>
      </c>
      <c r="C68" s="3">
        <f t="shared" si="6"/>
        <v>10429.328358208955</v>
      </c>
      <c r="D68" s="3">
        <f t="shared" si="6"/>
        <v>62062.776119402988</v>
      </c>
      <c r="E68">
        <v>67</v>
      </c>
      <c r="H68" s="9">
        <v>67</v>
      </c>
      <c r="I68" s="10" t="str">
        <f t="shared" si="7"/>
        <v>Mi Hazánk</v>
      </c>
      <c r="J68" s="11">
        <f t="shared" si="8"/>
        <v>5</v>
      </c>
      <c r="K68" s="12">
        <f t="shared" si="9"/>
        <v>139753</v>
      </c>
    </row>
    <row r="69" spans="1:11" ht="24" customHeight="1">
      <c r="A69" t="s">
        <v>75</v>
      </c>
      <c r="B69" s="3">
        <f t="shared" si="6"/>
        <v>69181.029411764699</v>
      </c>
      <c r="C69" s="3">
        <f t="shared" si="6"/>
        <v>10275.955882352941</v>
      </c>
      <c r="D69" s="3">
        <f t="shared" si="6"/>
        <v>61150.088235294119</v>
      </c>
      <c r="E69">
        <v>68</v>
      </c>
      <c r="H69" s="9">
        <v>68</v>
      </c>
      <c r="I69" s="10" t="str">
        <f t="shared" si="7"/>
        <v>FIDESZ-KDNP</v>
      </c>
      <c r="J69" s="11">
        <f t="shared" si="8"/>
        <v>30</v>
      </c>
      <c r="K69" s="12">
        <f t="shared" si="9"/>
        <v>138606.86666666667</v>
      </c>
    </row>
    <row r="70" spans="1:11" ht="24" customHeight="1">
      <c r="A70" t="s">
        <v>76</v>
      </c>
      <c r="B70" s="3">
        <f t="shared" si="6"/>
        <v>68178.405797101455</v>
      </c>
      <c r="C70" s="3">
        <f t="shared" si="6"/>
        <v>10127.028985507246</v>
      </c>
      <c r="D70" s="3">
        <f t="shared" si="6"/>
        <v>60263.855072463768</v>
      </c>
      <c r="E70">
        <v>69</v>
      </c>
      <c r="H70" s="9">
        <v>69</v>
      </c>
      <c r="I70" s="10" t="str">
        <f t="shared" si="7"/>
        <v>TISZA</v>
      </c>
      <c r="J70" s="11">
        <f t="shared" si="8"/>
        <v>34</v>
      </c>
      <c r="K70" s="12">
        <f t="shared" si="9"/>
        <v>138362.0588235294</v>
      </c>
    </row>
    <row r="71" spans="1:11" ht="24" customHeight="1">
      <c r="A71" t="s">
        <v>77</v>
      </c>
      <c r="B71" s="3">
        <f t="shared" si="6"/>
        <v>67204.428571428565</v>
      </c>
      <c r="C71" s="3">
        <f t="shared" si="6"/>
        <v>9982.3571428571431</v>
      </c>
      <c r="D71" s="3">
        <f t="shared" si="6"/>
        <v>59402.942857142858</v>
      </c>
      <c r="E71">
        <v>70</v>
      </c>
      <c r="H71" s="9">
        <v>70</v>
      </c>
      <c r="I71" s="10" t="str">
        <f t="shared" si="7"/>
        <v>TISZA</v>
      </c>
      <c r="J71" s="11">
        <f t="shared" si="8"/>
        <v>35</v>
      </c>
      <c r="K71" s="12">
        <f t="shared" si="9"/>
        <v>134408.85714285713</v>
      </c>
    </row>
    <row r="72" spans="1:11" ht="24" customHeight="1">
      <c r="A72" t="s">
        <v>78</v>
      </c>
      <c r="B72" s="3">
        <f t="shared" si="6"/>
        <v>66257.887323943665</v>
      </c>
      <c r="C72" s="3">
        <f t="shared" si="6"/>
        <v>9841.7605633802814</v>
      </c>
      <c r="D72" s="3">
        <f t="shared" si="6"/>
        <v>58566.281690140844</v>
      </c>
      <c r="E72">
        <v>71</v>
      </c>
      <c r="H72" s="9">
        <v>71</v>
      </c>
      <c r="I72" s="10" t="str">
        <f t="shared" si="7"/>
        <v>FIDESZ-KDNP</v>
      </c>
      <c r="J72" s="11">
        <f t="shared" si="8"/>
        <v>30.999999999999996</v>
      </c>
      <c r="K72" s="12">
        <f t="shared" si="9"/>
        <v>134135.67741935485</v>
      </c>
    </row>
    <row r="73" spans="1:11" ht="24" customHeight="1">
      <c r="A73" t="s">
        <v>79</v>
      </c>
      <c r="B73" s="3">
        <f t="shared" si="6"/>
        <v>65337.638888888891</v>
      </c>
      <c r="C73" s="3">
        <f t="shared" si="6"/>
        <v>9705.0694444444453</v>
      </c>
      <c r="D73" s="3">
        <f t="shared" si="6"/>
        <v>57752.861111111109</v>
      </c>
      <c r="E73">
        <v>72</v>
      </c>
      <c r="H73" s="9">
        <v>72</v>
      </c>
      <c r="I73" s="10" t="str">
        <f t="shared" si="7"/>
        <v>TISZA</v>
      </c>
      <c r="J73" s="11">
        <f t="shared" si="8"/>
        <v>36</v>
      </c>
      <c r="K73" s="12">
        <f t="shared" si="9"/>
        <v>130675.27777777778</v>
      </c>
    </row>
    <row r="74" spans="1:11" ht="24" customHeight="1">
      <c r="A74" t="s">
        <v>80</v>
      </c>
      <c r="B74" s="3">
        <f t="shared" si="6"/>
        <v>64442.602739726026</v>
      </c>
      <c r="C74" s="3">
        <f t="shared" si="6"/>
        <v>9572.1232876712329</v>
      </c>
      <c r="D74" s="3">
        <f t="shared" si="6"/>
        <v>56961.726027397257</v>
      </c>
      <c r="E74">
        <v>73</v>
      </c>
      <c r="H74" s="9">
        <v>73</v>
      </c>
      <c r="I74" s="10" t="str">
        <f t="shared" si="7"/>
        <v>FIDESZ-KDNP</v>
      </c>
      <c r="J74" s="11">
        <f t="shared" si="8"/>
        <v>32</v>
      </c>
      <c r="K74" s="12">
        <f t="shared" si="9"/>
        <v>129943.9375</v>
      </c>
    </row>
    <row r="75" spans="1:11" ht="24" customHeight="1">
      <c r="A75" t="s">
        <v>81</v>
      </c>
      <c r="B75" s="3">
        <f t="shared" si="6"/>
        <v>63571.75675675676</v>
      </c>
      <c r="C75" s="3">
        <f t="shared" si="6"/>
        <v>9442.77027027027</v>
      </c>
      <c r="D75" s="3">
        <f t="shared" si="6"/>
        <v>56191.972972972973</v>
      </c>
      <c r="E75">
        <v>74</v>
      </c>
      <c r="H75" s="9">
        <v>74</v>
      </c>
      <c r="I75" s="10" t="str">
        <f t="shared" si="7"/>
        <v>TISZA</v>
      </c>
      <c r="J75" s="11">
        <f t="shared" si="8"/>
        <v>37</v>
      </c>
      <c r="K75" s="12">
        <f t="shared" si="9"/>
        <v>127143.51351351352</v>
      </c>
    </row>
    <row r="76" spans="1:11" ht="24" customHeight="1">
      <c r="A76" t="s">
        <v>82</v>
      </c>
      <c r="B76" s="3">
        <f t="shared" si="6"/>
        <v>62724.133333333331</v>
      </c>
      <c r="C76" s="3">
        <f t="shared" si="6"/>
        <v>9316.8666666666668</v>
      </c>
      <c r="D76" s="3">
        <f t="shared" si="6"/>
        <v>55442.746666666666</v>
      </c>
      <c r="E76">
        <v>75</v>
      </c>
      <c r="H76" s="9">
        <v>75</v>
      </c>
      <c r="I76" s="10" t="str">
        <f t="shared" si="7"/>
        <v>FIDESZ-KDNP</v>
      </c>
      <c r="J76" s="11">
        <f t="shared" si="8"/>
        <v>33</v>
      </c>
      <c r="K76" s="12">
        <f t="shared" si="9"/>
        <v>126006.24242424243</v>
      </c>
    </row>
    <row r="77" spans="1:11" ht="24" customHeight="1">
      <c r="A77" t="s">
        <v>83</v>
      </c>
      <c r="B77" s="3">
        <f t="shared" si="6"/>
        <v>61898.815789473687</v>
      </c>
      <c r="C77" s="3">
        <f t="shared" si="6"/>
        <v>9194.2763157894733</v>
      </c>
      <c r="D77" s="3">
        <f t="shared" si="6"/>
        <v>54713.23684210526</v>
      </c>
      <c r="E77">
        <v>76</v>
      </c>
      <c r="H77" s="9">
        <v>76</v>
      </c>
      <c r="I77" s="10" t="str">
        <f t="shared" si="7"/>
        <v>TISZA</v>
      </c>
      <c r="J77" s="11">
        <f t="shared" si="8"/>
        <v>38</v>
      </c>
      <c r="K77" s="12">
        <f t="shared" si="9"/>
        <v>123797.63157894737</v>
      </c>
    </row>
    <row r="78" spans="1:11" ht="24" customHeight="1">
      <c r="A78" t="s">
        <v>84</v>
      </c>
      <c r="B78" s="3">
        <f t="shared" si="6"/>
        <v>61094.935064935067</v>
      </c>
      <c r="C78" s="3">
        <f t="shared" si="6"/>
        <v>9074.8701298701308</v>
      </c>
      <c r="D78" s="3">
        <f t="shared" si="6"/>
        <v>54002.675324675321</v>
      </c>
      <c r="E78">
        <v>77</v>
      </c>
      <c r="H78" s="9">
        <v>77</v>
      </c>
      <c r="I78" s="10" t="str">
        <f t="shared" si="7"/>
        <v>FIDESZ-KDNP</v>
      </c>
      <c r="J78" s="11">
        <f t="shared" si="8"/>
        <v>34</v>
      </c>
      <c r="K78" s="12">
        <f t="shared" si="9"/>
        <v>122300.17647058824</v>
      </c>
    </row>
    <row r="79" spans="1:11" ht="24" customHeight="1">
      <c r="A79" t="s">
        <v>85</v>
      </c>
      <c r="B79" s="3">
        <f t="shared" si="6"/>
        <v>60311.666666666664</v>
      </c>
      <c r="C79" s="3">
        <f t="shared" si="6"/>
        <v>8958.5256410256407</v>
      </c>
      <c r="D79" s="3">
        <f t="shared" si="6"/>
        <v>53310.333333333336</v>
      </c>
      <c r="E79">
        <v>78</v>
      </c>
      <c r="H79" s="9">
        <v>78</v>
      </c>
      <c r="I79" s="10" t="str">
        <f t="shared" si="7"/>
        <v>TISZA</v>
      </c>
      <c r="J79" s="11">
        <f t="shared" si="8"/>
        <v>39</v>
      </c>
      <c r="K79" s="12">
        <f t="shared" si="9"/>
        <v>120623.33333333333</v>
      </c>
    </row>
    <row r="80" spans="1:11" ht="24" customHeight="1">
      <c r="A80" t="s">
        <v>86</v>
      </c>
      <c r="B80" s="3">
        <f t="shared" si="6"/>
        <v>59548.227848101269</v>
      </c>
      <c r="C80" s="3">
        <f t="shared" si="6"/>
        <v>8845.1265822784808</v>
      </c>
      <c r="D80" s="3">
        <f t="shared" si="6"/>
        <v>52635.518987341769</v>
      </c>
      <c r="E80">
        <v>79</v>
      </c>
      <c r="H80" s="9">
        <v>79</v>
      </c>
      <c r="I80" s="10" t="str">
        <f t="shared" si="7"/>
        <v>FIDESZ-KDNP</v>
      </c>
      <c r="J80" s="11">
        <f t="shared" si="8"/>
        <v>35</v>
      </c>
      <c r="K80" s="12">
        <f t="shared" si="9"/>
        <v>118805.88571428572</v>
      </c>
    </row>
    <row r="81" spans="1:11" ht="24" customHeight="1">
      <c r="A81" t="s">
        <v>87</v>
      </c>
      <c r="B81" s="3">
        <f t="shared" si="6"/>
        <v>58803.875</v>
      </c>
      <c r="C81" s="3">
        <f t="shared" si="6"/>
        <v>8734.5625</v>
      </c>
      <c r="D81" s="3">
        <f t="shared" si="6"/>
        <v>51977.574999999997</v>
      </c>
      <c r="E81">
        <v>80</v>
      </c>
      <c r="H81" s="9">
        <v>80</v>
      </c>
      <c r="I81" s="10" t="str">
        <f t="shared" si="7"/>
        <v>TISZA</v>
      </c>
      <c r="J81" s="11">
        <f t="shared" si="8"/>
        <v>40</v>
      </c>
      <c r="K81" s="12">
        <f t="shared" si="9"/>
        <v>117607.75</v>
      </c>
    </row>
    <row r="82" spans="1:11" ht="24" customHeight="1">
      <c r="A82" t="s">
        <v>88</v>
      </c>
      <c r="B82" s="3">
        <f t="shared" si="6"/>
        <v>58077.9012345679</v>
      </c>
      <c r="C82" s="3">
        <f t="shared" si="6"/>
        <v>8626.7283950617275</v>
      </c>
      <c r="D82" s="3">
        <f t="shared" si="6"/>
        <v>51335.876543209873</v>
      </c>
      <c r="E82">
        <v>81</v>
      </c>
      <c r="H82" s="9">
        <v>81</v>
      </c>
      <c r="I82" s="10" t="str">
        <f t="shared" si="7"/>
        <v>Mi Hazánk</v>
      </c>
      <c r="J82" s="11">
        <f t="shared" si="8"/>
        <v>6</v>
      </c>
      <c r="K82" s="12">
        <f t="shared" si="9"/>
        <v>116460.83333333333</v>
      </c>
    </row>
    <row r="83" spans="1:11" ht="24" customHeight="1">
      <c r="A83" t="s">
        <v>89</v>
      </c>
      <c r="B83" s="3">
        <f t="shared" ref="B83:D94" si="10">B$2/$E83</f>
        <v>57369.634146341465</v>
      </c>
      <c r="C83" s="3">
        <f t="shared" si="10"/>
        <v>8521.5243902439033</v>
      </c>
      <c r="D83" s="3">
        <f t="shared" si="10"/>
        <v>50709.829268292684</v>
      </c>
      <c r="E83">
        <v>82</v>
      </c>
      <c r="H83" s="9">
        <v>82</v>
      </c>
      <c r="I83" s="10" t="str">
        <f t="shared" si="7"/>
        <v>FIDESZ-KDNP</v>
      </c>
      <c r="J83" s="11">
        <f t="shared" si="8"/>
        <v>36</v>
      </c>
      <c r="K83" s="12">
        <f t="shared" si="9"/>
        <v>115505.72222222222</v>
      </c>
    </row>
    <row r="84" spans="1:11" ht="24" customHeight="1">
      <c r="A84" t="s">
        <v>90</v>
      </c>
      <c r="B84" s="3">
        <f t="shared" si="10"/>
        <v>56678.433734939761</v>
      </c>
      <c r="C84" s="3">
        <f t="shared" si="10"/>
        <v>8418.8554216867469</v>
      </c>
      <c r="D84" s="3">
        <f t="shared" si="10"/>
        <v>50098.867469879515</v>
      </c>
      <c r="E84">
        <v>83</v>
      </c>
      <c r="H84" s="9">
        <v>83</v>
      </c>
      <c r="I84" s="10" t="str">
        <f t="shared" si="7"/>
        <v>TISZA</v>
      </c>
      <c r="J84" s="11">
        <f t="shared" si="8"/>
        <v>41</v>
      </c>
      <c r="K84" s="12">
        <f t="shared" si="9"/>
        <v>114739.26829268293</v>
      </c>
    </row>
    <row r="85" spans="1:11" ht="24" customHeight="1">
      <c r="A85" t="s">
        <v>91</v>
      </c>
      <c r="B85" s="3">
        <f t="shared" si="10"/>
        <v>56003.690476190473</v>
      </c>
      <c r="C85" s="3">
        <f t="shared" si="10"/>
        <v>8318.6309523809523</v>
      </c>
      <c r="D85" s="3">
        <f t="shared" si="10"/>
        <v>49502.452380952382</v>
      </c>
      <c r="E85">
        <v>84</v>
      </c>
      <c r="H85" s="9">
        <v>84</v>
      </c>
      <c r="I85" s="10" t="str">
        <f t="shared" si="7"/>
        <v>FIDESZ-KDNP</v>
      </c>
      <c r="J85" s="11">
        <f t="shared" si="8"/>
        <v>37</v>
      </c>
      <c r="K85" s="12">
        <f t="shared" si="9"/>
        <v>112383.94594594595</v>
      </c>
    </row>
    <row r="86" spans="1:11" ht="24" customHeight="1">
      <c r="A86" t="s">
        <v>92</v>
      </c>
      <c r="B86" s="3">
        <f t="shared" si="10"/>
        <v>55344.823529411762</v>
      </c>
      <c r="C86" s="3">
        <f t="shared" si="10"/>
        <v>8220.7647058823532</v>
      </c>
      <c r="D86" s="3">
        <f t="shared" si="10"/>
        <v>48920.070588235292</v>
      </c>
      <c r="E86">
        <v>85</v>
      </c>
      <c r="H86" s="9">
        <v>85</v>
      </c>
      <c r="I86" s="10" t="str">
        <f t="shared" si="7"/>
        <v>TISZA</v>
      </c>
      <c r="J86" s="11">
        <f t="shared" si="8"/>
        <v>42</v>
      </c>
      <c r="K86" s="12">
        <f t="shared" si="9"/>
        <v>112007.38095238095</v>
      </c>
    </row>
    <row r="87" spans="1:11" ht="24" customHeight="1">
      <c r="A87" t="s">
        <v>93</v>
      </c>
      <c r="B87" s="3">
        <f t="shared" si="10"/>
        <v>54701.279069767443</v>
      </c>
      <c r="C87" s="3">
        <f t="shared" si="10"/>
        <v>8125.1744186046508</v>
      </c>
      <c r="D87" s="3">
        <f t="shared" si="10"/>
        <v>48351.232558139534</v>
      </c>
      <c r="E87">
        <v>86</v>
      </c>
      <c r="H87" s="9">
        <v>86</v>
      </c>
      <c r="I87" s="10" t="str">
        <f t="shared" si="7"/>
        <v>FIDESZ-KDNP</v>
      </c>
      <c r="J87" s="11">
        <f t="shared" si="8"/>
        <v>38</v>
      </c>
      <c r="K87" s="12">
        <f t="shared" si="9"/>
        <v>109426.47368421052</v>
      </c>
    </row>
    <row r="88" spans="1:11" ht="24" customHeight="1">
      <c r="A88" t="s">
        <v>94</v>
      </c>
      <c r="B88" s="3">
        <f t="shared" si="10"/>
        <v>54072.528735632186</v>
      </c>
      <c r="C88" s="3">
        <f t="shared" si="10"/>
        <v>8031.7816091954019</v>
      </c>
      <c r="D88" s="3">
        <f t="shared" si="10"/>
        <v>47795.471264367814</v>
      </c>
      <c r="E88">
        <v>87</v>
      </c>
      <c r="H88" s="9">
        <v>87</v>
      </c>
      <c r="I88" s="10" t="str">
        <f t="shared" si="7"/>
        <v>TISZA</v>
      </c>
      <c r="J88" s="11">
        <f t="shared" si="8"/>
        <v>43</v>
      </c>
      <c r="K88" s="12">
        <f t="shared" si="9"/>
        <v>109402.55813953489</v>
      </c>
    </row>
    <row r="89" spans="1:11" ht="24" customHeight="1">
      <c r="A89" t="s">
        <v>95</v>
      </c>
      <c r="B89" s="3">
        <f t="shared" si="10"/>
        <v>53458.068181818184</v>
      </c>
      <c r="C89" s="3">
        <f t="shared" si="10"/>
        <v>7940.511363636364</v>
      </c>
      <c r="D89" s="3">
        <f t="shared" si="10"/>
        <v>47252.340909090912</v>
      </c>
      <c r="E89">
        <v>88</v>
      </c>
      <c r="H89" s="9">
        <v>88</v>
      </c>
      <c r="I89" s="10" t="str">
        <f t="shared" si="7"/>
        <v>TISZA</v>
      </c>
      <c r="J89" s="11">
        <f t="shared" si="8"/>
        <v>44</v>
      </c>
      <c r="K89" s="12">
        <f t="shared" si="9"/>
        <v>106916.13636363637</v>
      </c>
    </row>
    <row r="90" spans="1:11" ht="24" customHeight="1">
      <c r="A90" t="s">
        <v>96</v>
      </c>
      <c r="B90" s="3">
        <f t="shared" si="10"/>
        <v>52857.415730337081</v>
      </c>
      <c r="C90" s="3">
        <f t="shared" si="10"/>
        <v>7851.2921348314603</v>
      </c>
      <c r="D90" s="3">
        <f t="shared" si="10"/>
        <v>46721.415730337081</v>
      </c>
      <c r="E90">
        <v>89</v>
      </c>
      <c r="H90" s="9">
        <v>89</v>
      </c>
      <c r="I90" s="10" t="str">
        <f t="shared" si="7"/>
        <v>FIDESZ-KDNP</v>
      </c>
      <c r="J90" s="11">
        <f t="shared" si="8"/>
        <v>39</v>
      </c>
      <c r="K90" s="12">
        <f t="shared" si="9"/>
        <v>106620.66666666667</v>
      </c>
    </row>
    <row r="91" spans="1:11" ht="24" customHeight="1">
      <c r="A91" t="s">
        <v>97</v>
      </c>
      <c r="B91" s="3">
        <f t="shared" si="10"/>
        <v>52270.111111111109</v>
      </c>
      <c r="C91" s="3">
        <f t="shared" si="10"/>
        <v>7764.0555555555557</v>
      </c>
      <c r="D91" s="3">
        <f t="shared" si="10"/>
        <v>46202.288888888892</v>
      </c>
      <c r="E91">
        <v>90</v>
      </c>
      <c r="H91" s="9">
        <v>90</v>
      </c>
      <c r="I91" s="10" t="str">
        <f t="shared" si="7"/>
        <v>TISZA</v>
      </c>
      <c r="J91" s="11">
        <f t="shared" si="8"/>
        <v>45</v>
      </c>
      <c r="K91" s="12">
        <f t="shared" si="9"/>
        <v>104540.22222222222</v>
      </c>
    </row>
    <row r="92" spans="1:11" ht="24" customHeight="1">
      <c r="A92" t="s">
        <v>98</v>
      </c>
      <c r="B92" s="3">
        <f t="shared" si="10"/>
        <v>51695.714285714283</v>
      </c>
      <c r="C92" s="3">
        <f t="shared" si="10"/>
        <v>7678.7362637362639</v>
      </c>
      <c r="D92" s="3">
        <f t="shared" si="10"/>
        <v>45694.571428571428</v>
      </c>
      <c r="E92">
        <v>91</v>
      </c>
      <c r="H92" s="9">
        <v>91</v>
      </c>
      <c r="I92" s="10" t="str">
        <f t="shared" si="7"/>
        <v>FIDESZ-KDNP</v>
      </c>
      <c r="J92" s="11">
        <f t="shared" si="8"/>
        <v>40</v>
      </c>
      <c r="K92" s="12">
        <f t="shared" si="9"/>
        <v>103955.15</v>
      </c>
    </row>
    <row r="93" spans="1:11" ht="24" customHeight="1">
      <c r="A93" t="s">
        <v>99</v>
      </c>
      <c r="B93" s="3">
        <f t="shared" si="10"/>
        <v>51133.804347826088</v>
      </c>
      <c r="C93" s="3">
        <f t="shared" si="10"/>
        <v>7595.271739130435</v>
      </c>
      <c r="D93" s="3">
        <f t="shared" si="10"/>
        <v>45197.891304347824</v>
      </c>
      <c r="E93">
        <v>92</v>
      </c>
      <c r="H93" s="9">
        <v>92</v>
      </c>
      <c r="I93" s="10" t="str">
        <f t="shared" si="7"/>
        <v>TISZA</v>
      </c>
      <c r="J93" s="11">
        <f t="shared" si="8"/>
        <v>46</v>
      </c>
      <c r="K93" s="12">
        <f t="shared" si="9"/>
        <v>102267.60869565218</v>
      </c>
    </row>
    <row r="94" spans="1:11" ht="24" customHeight="1">
      <c r="A94" t="s">
        <v>100</v>
      </c>
      <c r="B94" s="3">
        <f t="shared" si="10"/>
        <v>50583.978494623654</v>
      </c>
      <c r="C94" s="3">
        <f t="shared" si="10"/>
        <v>7513.6021505376348</v>
      </c>
      <c r="D94" s="3">
        <f t="shared" si="10"/>
        <v>44711.892473118278</v>
      </c>
      <c r="E94">
        <v>93</v>
      </c>
      <c r="H94" s="9">
        <v>93</v>
      </c>
      <c r="I94" s="10" t="str">
        <f t="shared" si="7"/>
        <v>FIDESZ-KDNP</v>
      </c>
      <c r="J94" s="11">
        <f t="shared" si="8"/>
        <v>41</v>
      </c>
      <c r="K94" s="12">
        <f t="shared" si="9"/>
        <v>101419.65853658537</v>
      </c>
    </row>
  </sheetData>
  <conditionalFormatting sqref="B2:D94">
    <cfRule type="expression" dxfId="11" priority="4">
      <formula>B2&gt;=LARGE($B$2:$D$94,93)</formula>
    </cfRule>
  </conditionalFormatting>
  <conditionalFormatting sqref="I2:I94">
    <cfRule type="containsText" dxfId="10" priority="1" operator="containsText" text="Mi">
      <formula>NOT(ISERROR(SEARCH("Mi",I2)))</formula>
    </cfRule>
    <cfRule type="containsText" dxfId="9" priority="2" operator="containsText" text="FIDESZ">
      <formula>NOT(ISERROR(SEARCH("FIDESZ",I2)))</formula>
    </cfRule>
    <cfRule type="containsText" dxfId="8" priority="3" operator="containsText" text="TISZA">
      <formula>NOT(ISERROR(SEARCH("TISZA",I2)))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6625-E5EA-F04B-BDB0-53180F409EA8}">
  <dimension ref="A1:O200"/>
  <sheetViews>
    <sheetView workbookViewId="0">
      <selection activeCell="S5" sqref="S5"/>
    </sheetView>
  </sheetViews>
  <sheetFormatPr baseColWidth="10" defaultRowHeight="16"/>
  <cols>
    <col min="1" max="1" width="14" bestFit="1" customWidth="1"/>
    <col min="2" max="2" width="19.1640625" style="1" customWidth="1"/>
    <col min="3" max="4" width="19.1640625" customWidth="1"/>
    <col min="5" max="6" width="5" customWidth="1"/>
    <col min="7" max="7" width="2" customWidth="1"/>
    <col min="8" max="8" width="10" style="1" customWidth="1"/>
    <col min="9" max="9" width="18.6640625" customWidth="1"/>
    <col min="10" max="10" width="8" style="1" customWidth="1"/>
    <col min="11" max="11" width="14" style="1" customWidth="1"/>
    <col min="12" max="12" width="2" customWidth="1"/>
    <col min="13" max="13" width="14" customWidth="1"/>
    <col min="14" max="14" width="12.5" customWidth="1"/>
    <col min="15" max="15" width="5.1640625" customWidth="1"/>
  </cols>
  <sheetData>
    <row r="1" spans="1:15" ht="24" customHeight="1">
      <c r="A1" s="6" t="s">
        <v>101</v>
      </c>
      <c r="B1" s="6" t="s">
        <v>5</v>
      </c>
      <c r="C1" s="6" t="s">
        <v>6</v>
      </c>
      <c r="D1" s="6" t="s">
        <v>7</v>
      </c>
      <c r="E1" s="7"/>
      <c r="F1" s="7"/>
      <c r="G1" s="7"/>
      <c r="H1" s="8" t="s">
        <v>0</v>
      </c>
      <c r="I1" s="8" t="s">
        <v>1</v>
      </c>
      <c r="J1" s="8" t="s">
        <v>2</v>
      </c>
      <c r="K1" s="8" t="s">
        <v>3</v>
      </c>
      <c r="L1" s="7"/>
      <c r="M1" s="8" t="s">
        <v>1</v>
      </c>
      <c r="N1" s="8" t="s">
        <v>4</v>
      </c>
      <c r="O1" s="9"/>
    </row>
    <row r="2" spans="1:15" ht="24" customHeight="1">
      <c r="A2" t="s">
        <v>102</v>
      </c>
      <c r="B2" s="2">
        <v>3385890</v>
      </c>
      <c r="C2" s="2">
        <v>358372</v>
      </c>
      <c r="D2" s="2">
        <v>2458337</v>
      </c>
      <c r="E2">
        <v>1</v>
      </c>
      <c r="H2" s="9">
        <v>1</v>
      </c>
      <c r="I2" s="10" t="str">
        <f>IF(COUNTIF($B$2:$B$200,K2)&gt;0,"TISZA",IF(COUNTIF($C$2:$C$200,K2)&gt;0,"Mi Hazánk","FIDESZ-KDNP"))</f>
        <v>TISZA</v>
      </c>
      <c r="J2" s="11">
        <f t="shared" ref="J2:J65" si="0">IF(I2="TISZA",$B$2/K2,IF(I2="Mi Hazánk",$C$2/K2,$D$2/K2))</f>
        <v>1</v>
      </c>
      <c r="K2" s="12">
        <f>LARGE($B$2:$D$200,H2)</f>
        <v>3385890</v>
      </c>
      <c r="M2" t="s">
        <v>5</v>
      </c>
      <c r="N2" s="16">
        <f>COUNTIF($I$2:$I$200,M2)</f>
        <v>109</v>
      </c>
    </row>
    <row r="3" spans="1:15" ht="24" customHeight="1">
      <c r="A3" t="s">
        <v>8</v>
      </c>
      <c r="B3" s="3">
        <f t="shared" ref="B3:D22" si="1">B$2/$E3</f>
        <v>1692945</v>
      </c>
      <c r="C3" s="3">
        <f t="shared" si="1"/>
        <v>179186</v>
      </c>
      <c r="D3" s="3">
        <f t="shared" si="1"/>
        <v>1229168.5</v>
      </c>
      <c r="E3">
        <v>2</v>
      </c>
      <c r="H3" s="9">
        <v>2</v>
      </c>
      <c r="I3" s="10" t="str">
        <f t="shared" ref="I3:I66" si="2">IF(COUNTIF($B$2:$B$200,K3)&gt;0,"TISZA",IF(COUNTIF($C$2:$C$200,K3)&gt;0,"Mi Hazánk","FIDESZ-KDNP"))</f>
        <v>FIDESZ-KDNP</v>
      </c>
      <c r="J3" s="11">
        <f t="shared" si="0"/>
        <v>1</v>
      </c>
      <c r="K3" s="12">
        <f t="shared" ref="K3:K66" si="3">LARGE($B$2:$D$200,H3)</f>
        <v>2458337</v>
      </c>
      <c r="M3" t="s">
        <v>6</v>
      </c>
      <c r="N3" s="16">
        <f>COUNTIF($I$2:$I$200,M3)</f>
        <v>11</v>
      </c>
    </row>
    <row r="4" spans="1:15" ht="24" customHeight="1">
      <c r="A4" t="s">
        <v>9</v>
      </c>
      <c r="B4" s="3">
        <f t="shared" si="1"/>
        <v>1128630</v>
      </c>
      <c r="C4" s="3">
        <f t="shared" si="1"/>
        <v>119457.33333333333</v>
      </c>
      <c r="D4" s="3">
        <f t="shared" si="1"/>
        <v>819445.66666666663</v>
      </c>
      <c r="E4">
        <v>3</v>
      </c>
      <c r="H4" s="9">
        <v>3</v>
      </c>
      <c r="I4" s="10" t="str">
        <f t="shared" si="2"/>
        <v>TISZA</v>
      </c>
      <c r="J4" s="11">
        <f t="shared" si="0"/>
        <v>2</v>
      </c>
      <c r="K4" s="12">
        <f t="shared" si="3"/>
        <v>1692945</v>
      </c>
      <c r="M4" t="s">
        <v>7</v>
      </c>
      <c r="N4" s="16">
        <f>COUNTIF($I$2:$I$200,M4)</f>
        <v>79</v>
      </c>
    </row>
    <row r="5" spans="1:15" ht="24" customHeight="1">
      <c r="A5" t="s">
        <v>11</v>
      </c>
      <c r="B5" s="3">
        <f t="shared" si="1"/>
        <v>846472.5</v>
      </c>
      <c r="C5" s="3">
        <f t="shared" si="1"/>
        <v>89593</v>
      </c>
      <c r="D5" s="3">
        <f t="shared" si="1"/>
        <v>614584.25</v>
      </c>
      <c r="E5">
        <v>4</v>
      </c>
      <c r="H5" s="9">
        <v>4</v>
      </c>
      <c r="I5" s="10" t="str">
        <f t="shared" si="2"/>
        <v>FIDESZ-KDNP</v>
      </c>
      <c r="J5" s="11">
        <f t="shared" si="0"/>
        <v>2</v>
      </c>
      <c r="K5" s="12">
        <f t="shared" si="3"/>
        <v>1229168.5</v>
      </c>
      <c r="M5" s="4" t="s">
        <v>10</v>
      </c>
      <c r="N5" s="17">
        <f>SUM(N2:N4)</f>
        <v>199</v>
      </c>
    </row>
    <row r="6" spans="1:15" ht="24" customHeight="1">
      <c r="A6" t="s">
        <v>12</v>
      </c>
      <c r="B6" s="3">
        <f t="shared" si="1"/>
        <v>677178</v>
      </c>
      <c r="C6" s="3">
        <f t="shared" si="1"/>
        <v>71674.399999999994</v>
      </c>
      <c r="D6" s="3">
        <f t="shared" si="1"/>
        <v>491667.4</v>
      </c>
      <c r="E6">
        <v>5</v>
      </c>
      <c r="H6" s="9">
        <v>5</v>
      </c>
      <c r="I6" s="10" t="str">
        <f t="shared" si="2"/>
        <v>TISZA</v>
      </c>
      <c r="J6" s="11">
        <f t="shared" si="0"/>
        <v>3</v>
      </c>
      <c r="K6" s="12">
        <f t="shared" si="3"/>
        <v>1128630</v>
      </c>
      <c r="M6" s="20" t="s">
        <v>103</v>
      </c>
      <c r="N6" s="20"/>
      <c r="O6" s="18"/>
    </row>
    <row r="7" spans="1:15" ht="24" customHeight="1">
      <c r="A7" t="s">
        <v>13</v>
      </c>
      <c r="B7" s="3">
        <f t="shared" si="1"/>
        <v>564315</v>
      </c>
      <c r="C7" s="3">
        <f t="shared" si="1"/>
        <v>59728.666666666664</v>
      </c>
      <c r="D7" s="3">
        <f t="shared" si="1"/>
        <v>409722.83333333331</v>
      </c>
      <c r="E7">
        <v>6</v>
      </c>
      <c r="H7" s="9">
        <v>6</v>
      </c>
      <c r="I7" s="10" t="str">
        <f t="shared" si="2"/>
        <v>TISZA</v>
      </c>
      <c r="J7" s="11">
        <f t="shared" si="0"/>
        <v>4</v>
      </c>
      <c r="K7" s="12">
        <f t="shared" si="3"/>
        <v>846472.5</v>
      </c>
    </row>
    <row r="8" spans="1:15" ht="24" customHeight="1">
      <c r="A8" t="s">
        <v>14</v>
      </c>
      <c r="B8" s="3">
        <f t="shared" si="1"/>
        <v>483698.57142857142</v>
      </c>
      <c r="C8" s="3">
        <f t="shared" si="1"/>
        <v>51196</v>
      </c>
      <c r="D8" s="3">
        <f t="shared" si="1"/>
        <v>351191</v>
      </c>
      <c r="E8">
        <v>7</v>
      </c>
      <c r="H8" s="9">
        <v>7</v>
      </c>
      <c r="I8" s="10" t="str">
        <f t="shared" si="2"/>
        <v>FIDESZ-KDNP</v>
      </c>
      <c r="J8" s="11">
        <f t="shared" si="0"/>
        <v>3</v>
      </c>
      <c r="K8" s="12">
        <f t="shared" si="3"/>
        <v>819445.66666666663</v>
      </c>
    </row>
    <row r="9" spans="1:15" ht="24" customHeight="1">
      <c r="A9" t="s">
        <v>15</v>
      </c>
      <c r="B9" s="3">
        <f t="shared" si="1"/>
        <v>423236.25</v>
      </c>
      <c r="C9" s="3">
        <f t="shared" si="1"/>
        <v>44796.5</v>
      </c>
      <c r="D9" s="3">
        <f t="shared" si="1"/>
        <v>307292.125</v>
      </c>
      <c r="E9">
        <v>8</v>
      </c>
      <c r="H9" s="9">
        <v>8</v>
      </c>
      <c r="I9" s="10" t="str">
        <f t="shared" si="2"/>
        <v>TISZA</v>
      </c>
      <c r="J9" s="11">
        <f t="shared" si="0"/>
        <v>5</v>
      </c>
      <c r="K9" s="12">
        <f t="shared" si="3"/>
        <v>677178</v>
      </c>
    </row>
    <row r="10" spans="1:15" ht="24" customHeight="1">
      <c r="A10" t="s">
        <v>16</v>
      </c>
      <c r="B10" s="3">
        <f t="shared" si="1"/>
        <v>376210</v>
      </c>
      <c r="C10" s="3">
        <f t="shared" si="1"/>
        <v>39819.111111111109</v>
      </c>
      <c r="D10" s="3">
        <f t="shared" si="1"/>
        <v>273148.55555555556</v>
      </c>
      <c r="E10">
        <v>9</v>
      </c>
      <c r="H10" s="9">
        <v>9</v>
      </c>
      <c r="I10" s="10" t="str">
        <f t="shared" si="2"/>
        <v>FIDESZ-KDNP</v>
      </c>
      <c r="J10" s="11">
        <f t="shared" si="0"/>
        <v>4</v>
      </c>
      <c r="K10" s="12">
        <f t="shared" si="3"/>
        <v>614584.25</v>
      </c>
    </row>
    <row r="11" spans="1:15" ht="24" customHeight="1">
      <c r="A11" t="s">
        <v>17</v>
      </c>
      <c r="B11" s="3">
        <f t="shared" si="1"/>
        <v>338589</v>
      </c>
      <c r="C11" s="3">
        <f t="shared" si="1"/>
        <v>35837.199999999997</v>
      </c>
      <c r="D11" s="3">
        <f t="shared" si="1"/>
        <v>245833.7</v>
      </c>
      <c r="E11">
        <v>10</v>
      </c>
      <c r="H11" s="9">
        <v>10</v>
      </c>
      <c r="I11" s="10" t="str">
        <f t="shared" si="2"/>
        <v>TISZA</v>
      </c>
      <c r="J11" s="11">
        <f t="shared" si="0"/>
        <v>6</v>
      </c>
      <c r="K11" s="12">
        <f t="shared" si="3"/>
        <v>564315</v>
      </c>
    </row>
    <row r="12" spans="1:15" ht="24" customHeight="1">
      <c r="A12" t="s">
        <v>18</v>
      </c>
      <c r="B12" s="3">
        <f t="shared" si="1"/>
        <v>307808.18181818182</v>
      </c>
      <c r="C12" s="3">
        <f t="shared" si="1"/>
        <v>32579.272727272728</v>
      </c>
      <c r="D12" s="3">
        <f t="shared" si="1"/>
        <v>223485.18181818182</v>
      </c>
      <c r="E12">
        <v>11</v>
      </c>
      <c r="H12" s="9">
        <v>11</v>
      </c>
      <c r="I12" s="10" t="str">
        <f t="shared" si="2"/>
        <v>FIDESZ-KDNP</v>
      </c>
      <c r="J12" s="11">
        <f t="shared" si="0"/>
        <v>5</v>
      </c>
      <c r="K12" s="12">
        <f t="shared" si="3"/>
        <v>491667.4</v>
      </c>
    </row>
    <row r="13" spans="1:15" ht="24" customHeight="1">
      <c r="A13" t="s">
        <v>19</v>
      </c>
      <c r="B13" s="3">
        <f t="shared" si="1"/>
        <v>282157.5</v>
      </c>
      <c r="C13" s="3">
        <f t="shared" si="1"/>
        <v>29864.333333333332</v>
      </c>
      <c r="D13" s="3">
        <f t="shared" si="1"/>
        <v>204861.41666666666</v>
      </c>
      <c r="E13">
        <v>12</v>
      </c>
      <c r="H13" s="9">
        <v>12</v>
      </c>
      <c r="I13" s="10" t="str">
        <f t="shared" si="2"/>
        <v>TISZA</v>
      </c>
      <c r="J13" s="11">
        <f t="shared" si="0"/>
        <v>7</v>
      </c>
      <c r="K13" s="12">
        <f t="shared" si="3"/>
        <v>483698.57142857142</v>
      </c>
    </row>
    <row r="14" spans="1:15" ht="24" customHeight="1">
      <c r="A14" t="s">
        <v>20</v>
      </c>
      <c r="B14" s="3">
        <f t="shared" si="1"/>
        <v>260453.07692307694</v>
      </c>
      <c r="C14" s="3">
        <f t="shared" si="1"/>
        <v>27567.076923076922</v>
      </c>
      <c r="D14" s="3">
        <f t="shared" si="1"/>
        <v>189102.84615384616</v>
      </c>
      <c r="E14">
        <v>13</v>
      </c>
      <c r="H14" s="9">
        <v>13</v>
      </c>
      <c r="I14" s="10" t="str">
        <f t="shared" si="2"/>
        <v>TISZA</v>
      </c>
      <c r="J14" s="11">
        <f t="shared" si="0"/>
        <v>8</v>
      </c>
      <c r="K14" s="12">
        <f t="shared" si="3"/>
        <v>423236.25</v>
      </c>
    </row>
    <row r="15" spans="1:15" ht="24" customHeight="1">
      <c r="A15" t="s">
        <v>21</v>
      </c>
      <c r="B15" s="3">
        <f t="shared" si="1"/>
        <v>241849.28571428571</v>
      </c>
      <c r="C15" s="3">
        <f t="shared" si="1"/>
        <v>25598</v>
      </c>
      <c r="D15" s="3">
        <f t="shared" si="1"/>
        <v>175595.5</v>
      </c>
      <c r="E15">
        <v>14</v>
      </c>
      <c r="H15" s="9">
        <v>14</v>
      </c>
      <c r="I15" s="10" t="str">
        <f t="shared" si="2"/>
        <v>FIDESZ-KDNP</v>
      </c>
      <c r="J15" s="11">
        <f t="shared" si="0"/>
        <v>6</v>
      </c>
      <c r="K15" s="12">
        <f t="shared" si="3"/>
        <v>409722.83333333331</v>
      </c>
    </row>
    <row r="16" spans="1:15" ht="24" customHeight="1">
      <c r="A16" t="s">
        <v>22</v>
      </c>
      <c r="B16" s="3">
        <f t="shared" si="1"/>
        <v>225726</v>
      </c>
      <c r="C16" s="3">
        <f t="shared" si="1"/>
        <v>23891.466666666667</v>
      </c>
      <c r="D16" s="3">
        <f t="shared" si="1"/>
        <v>163889.13333333333</v>
      </c>
      <c r="E16">
        <v>15</v>
      </c>
      <c r="H16" s="9">
        <v>15</v>
      </c>
      <c r="I16" s="10" t="str">
        <f t="shared" si="2"/>
        <v>TISZA</v>
      </c>
      <c r="J16" s="11">
        <f t="shared" si="0"/>
        <v>9</v>
      </c>
      <c r="K16" s="12">
        <f t="shared" si="3"/>
        <v>376210</v>
      </c>
    </row>
    <row r="17" spans="1:11" ht="24" customHeight="1">
      <c r="A17" t="s">
        <v>23</v>
      </c>
      <c r="B17" s="3">
        <f t="shared" si="1"/>
        <v>211618.125</v>
      </c>
      <c r="C17" s="3">
        <f t="shared" si="1"/>
        <v>22398.25</v>
      </c>
      <c r="D17" s="3">
        <f t="shared" si="1"/>
        <v>153646.0625</v>
      </c>
      <c r="E17">
        <v>16</v>
      </c>
      <c r="H17" s="9">
        <v>16</v>
      </c>
      <c r="I17" s="10" t="str">
        <f t="shared" si="2"/>
        <v>Mi Hazánk</v>
      </c>
      <c r="J17" s="11">
        <f t="shared" si="0"/>
        <v>1</v>
      </c>
      <c r="K17" s="12">
        <f t="shared" si="3"/>
        <v>358372</v>
      </c>
    </row>
    <row r="18" spans="1:11" ht="24" customHeight="1">
      <c r="A18" t="s">
        <v>24</v>
      </c>
      <c r="B18" s="3">
        <f t="shared" si="1"/>
        <v>199170</v>
      </c>
      <c r="C18" s="3">
        <f t="shared" si="1"/>
        <v>21080.705882352941</v>
      </c>
      <c r="D18" s="3">
        <f t="shared" si="1"/>
        <v>144608.0588235294</v>
      </c>
      <c r="E18">
        <v>17</v>
      </c>
      <c r="H18" s="9">
        <v>17</v>
      </c>
      <c r="I18" s="10" t="str">
        <f t="shared" si="2"/>
        <v>FIDESZ-KDNP</v>
      </c>
      <c r="J18" s="11">
        <f t="shared" si="0"/>
        <v>7</v>
      </c>
      <c r="K18" s="12">
        <f t="shared" si="3"/>
        <v>351191</v>
      </c>
    </row>
    <row r="19" spans="1:11" ht="24" customHeight="1">
      <c r="A19" t="s">
        <v>25</v>
      </c>
      <c r="B19" s="3">
        <f t="shared" si="1"/>
        <v>188105</v>
      </c>
      <c r="C19" s="3">
        <f t="shared" si="1"/>
        <v>19909.555555555555</v>
      </c>
      <c r="D19" s="3">
        <f t="shared" si="1"/>
        <v>136574.27777777778</v>
      </c>
      <c r="E19">
        <v>18</v>
      </c>
      <c r="H19" s="9">
        <v>18</v>
      </c>
      <c r="I19" s="10" t="str">
        <f t="shared" si="2"/>
        <v>TISZA</v>
      </c>
      <c r="J19" s="11">
        <f t="shared" si="0"/>
        <v>10</v>
      </c>
      <c r="K19" s="12">
        <f t="shared" si="3"/>
        <v>338589</v>
      </c>
    </row>
    <row r="20" spans="1:11" ht="24" customHeight="1">
      <c r="A20" t="s">
        <v>26</v>
      </c>
      <c r="B20" s="3">
        <f t="shared" si="1"/>
        <v>178204.73684210525</v>
      </c>
      <c r="C20" s="3">
        <f t="shared" si="1"/>
        <v>18861.684210526317</v>
      </c>
      <c r="D20" s="3">
        <f t="shared" si="1"/>
        <v>129386.15789473684</v>
      </c>
      <c r="E20">
        <v>19</v>
      </c>
      <c r="H20" s="9">
        <v>19</v>
      </c>
      <c r="I20" s="10" t="str">
        <f t="shared" si="2"/>
        <v>TISZA</v>
      </c>
      <c r="J20" s="11">
        <f t="shared" si="0"/>
        <v>11</v>
      </c>
      <c r="K20" s="12">
        <f t="shared" si="3"/>
        <v>307808.18181818182</v>
      </c>
    </row>
    <row r="21" spans="1:11" ht="24" customHeight="1">
      <c r="A21" t="s">
        <v>27</v>
      </c>
      <c r="B21" s="3">
        <f t="shared" si="1"/>
        <v>169294.5</v>
      </c>
      <c r="C21" s="3">
        <f t="shared" si="1"/>
        <v>17918.599999999999</v>
      </c>
      <c r="D21" s="3">
        <f t="shared" si="1"/>
        <v>122916.85</v>
      </c>
      <c r="E21">
        <v>20</v>
      </c>
      <c r="H21" s="9">
        <v>20</v>
      </c>
      <c r="I21" s="10" t="str">
        <f t="shared" si="2"/>
        <v>FIDESZ-KDNP</v>
      </c>
      <c r="J21" s="11">
        <f t="shared" si="0"/>
        <v>8</v>
      </c>
      <c r="K21" s="12">
        <f t="shared" si="3"/>
        <v>307292.125</v>
      </c>
    </row>
    <row r="22" spans="1:11" ht="24" customHeight="1">
      <c r="A22" t="s">
        <v>28</v>
      </c>
      <c r="B22" s="3">
        <f t="shared" si="1"/>
        <v>161232.85714285713</v>
      </c>
      <c r="C22" s="3">
        <f t="shared" si="1"/>
        <v>17065.333333333332</v>
      </c>
      <c r="D22" s="3">
        <f t="shared" si="1"/>
        <v>117063.66666666667</v>
      </c>
      <c r="E22">
        <v>21</v>
      </c>
      <c r="H22" s="9">
        <v>21</v>
      </c>
      <c r="I22" s="10" t="str">
        <f t="shared" si="2"/>
        <v>TISZA</v>
      </c>
      <c r="J22" s="11">
        <f t="shared" si="0"/>
        <v>12</v>
      </c>
      <c r="K22" s="12">
        <f t="shared" si="3"/>
        <v>282157.5</v>
      </c>
    </row>
    <row r="23" spans="1:11" ht="24" customHeight="1">
      <c r="A23" t="s">
        <v>29</v>
      </c>
      <c r="B23" s="3">
        <f t="shared" ref="B23:D42" si="4">B$2/$E23</f>
        <v>153904.09090909091</v>
      </c>
      <c r="C23" s="3">
        <f t="shared" si="4"/>
        <v>16289.636363636364</v>
      </c>
      <c r="D23" s="3">
        <f t="shared" si="4"/>
        <v>111742.59090909091</v>
      </c>
      <c r="E23">
        <v>22</v>
      </c>
      <c r="H23" s="9">
        <v>22</v>
      </c>
      <c r="I23" s="10" t="str">
        <f t="shared" si="2"/>
        <v>FIDESZ-KDNP</v>
      </c>
      <c r="J23" s="11">
        <f t="shared" si="0"/>
        <v>9</v>
      </c>
      <c r="K23" s="12">
        <f t="shared" si="3"/>
        <v>273148.55555555556</v>
      </c>
    </row>
    <row r="24" spans="1:11" ht="24" customHeight="1">
      <c r="A24" t="s">
        <v>30</v>
      </c>
      <c r="B24" s="3">
        <f t="shared" si="4"/>
        <v>147212.60869565216</v>
      </c>
      <c r="C24" s="3">
        <f t="shared" si="4"/>
        <v>15581.391304347826</v>
      </c>
      <c r="D24" s="3">
        <f t="shared" si="4"/>
        <v>106884.21739130435</v>
      </c>
      <c r="E24">
        <v>23</v>
      </c>
      <c r="H24" s="9">
        <v>23</v>
      </c>
      <c r="I24" s="10" t="str">
        <f t="shared" si="2"/>
        <v>TISZA</v>
      </c>
      <c r="J24" s="11">
        <f t="shared" si="0"/>
        <v>13</v>
      </c>
      <c r="K24" s="12">
        <f t="shared" si="3"/>
        <v>260453.07692307694</v>
      </c>
    </row>
    <row r="25" spans="1:11" ht="24" customHeight="1">
      <c r="A25" t="s">
        <v>31</v>
      </c>
      <c r="B25" s="3">
        <f t="shared" si="4"/>
        <v>141078.75</v>
      </c>
      <c r="C25" s="3">
        <f t="shared" si="4"/>
        <v>14932.166666666666</v>
      </c>
      <c r="D25" s="3">
        <f t="shared" si="4"/>
        <v>102430.70833333333</v>
      </c>
      <c r="E25">
        <v>24</v>
      </c>
      <c r="H25" s="9">
        <v>24</v>
      </c>
      <c r="I25" s="10" t="str">
        <f t="shared" si="2"/>
        <v>FIDESZ-KDNP</v>
      </c>
      <c r="J25" s="11">
        <f t="shared" si="0"/>
        <v>10</v>
      </c>
      <c r="K25" s="12">
        <f t="shared" si="3"/>
        <v>245833.7</v>
      </c>
    </row>
    <row r="26" spans="1:11" ht="24" customHeight="1">
      <c r="A26" t="s">
        <v>32</v>
      </c>
      <c r="B26" s="3">
        <f t="shared" si="4"/>
        <v>135435.6</v>
      </c>
      <c r="C26" s="3">
        <f t="shared" si="4"/>
        <v>14334.88</v>
      </c>
      <c r="D26" s="3">
        <f t="shared" si="4"/>
        <v>98333.48</v>
      </c>
      <c r="E26">
        <v>25</v>
      </c>
      <c r="H26" s="9">
        <v>25</v>
      </c>
      <c r="I26" s="10" t="str">
        <f t="shared" si="2"/>
        <v>TISZA</v>
      </c>
      <c r="J26" s="11">
        <f t="shared" si="0"/>
        <v>14</v>
      </c>
      <c r="K26" s="12">
        <f t="shared" si="3"/>
        <v>241849.28571428571</v>
      </c>
    </row>
    <row r="27" spans="1:11" ht="24" customHeight="1">
      <c r="A27" t="s">
        <v>33</v>
      </c>
      <c r="B27" s="3">
        <f t="shared" si="4"/>
        <v>130226.53846153847</v>
      </c>
      <c r="C27" s="3">
        <f t="shared" si="4"/>
        <v>13783.538461538461</v>
      </c>
      <c r="D27" s="3">
        <f t="shared" si="4"/>
        <v>94551.423076923078</v>
      </c>
      <c r="E27">
        <v>26</v>
      </c>
      <c r="H27" s="9">
        <v>26</v>
      </c>
      <c r="I27" s="10" t="str">
        <f t="shared" si="2"/>
        <v>TISZA</v>
      </c>
      <c r="J27" s="11">
        <f t="shared" si="0"/>
        <v>15</v>
      </c>
      <c r="K27" s="12">
        <f t="shared" si="3"/>
        <v>225726</v>
      </c>
    </row>
    <row r="28" spans="1:11" ht="24" customHeight="1">
      <c r="A28" t="s">
        <v>34</v>
      </c>
      <c r="B28" s="3">
        <f t="shared" si="4"/>
        <v>125403.33333333333</v>
      </c>
      <c r="C28" s="3">
        <f t="shared" si="4"/>
        <v>13273.037037037036</v>
      </c>
      <c r="D28" s="3">
        <f t="shared" si="4"/>
        <v>91049.518518518526</v>
      </c>
      <c r="E28">
        <v>27</v>
      </c>
      <c r="H28" s="9">
        <v>27</v>
      </c>
      <c r="I28" s="10" t="str">
        <f t="shared" si="2"/>
        <v>FIDESZ-KDNP</v>
      </c>
      <c r="J28" s="11">
        <f t="shared" si="0"/>
        <v>11</v>
      </c>
      <c r="K28" s="12">
        <f t="shared" si="3"/>
        <v>223485.18181818182</v>
      </c>
    </row>
    <row r="29" spans="1:11" ht="24" customHeight="1">
      <c r="A29" t="s">
        <v>35</v>
      </c>
      <c r="B29" s="3">
        <f t="shared" si="4"/>
        <v>120924.64285714286</v>
      </c>
      <c r="C29" s="3">
        <f t="shared" si="4"/>
        <v>12799</v>
      </c>
      <c r="D29" s="3">
        <f t="shared" si="4"/>
        <v>87797.75</v>
      </c>
      <c r="E29">
        <v>28</v>
      </c>
      <c r="H29" s="9">
        <v>28</v>
      </c>
      <c r="I29" s="10" t="str">
        <f t="shared" si="2"/>
        <v>TISZA</v>
      </c>
      <c r="J29" s="11">
        <f t="shared" si="0"/>
        <v>16</v>
      </c>
      <c r="K29" s="12">
        <f t="shared" si="3"/>
        <v>211618.125</v>
      </c>
    </row>
    <row r="30" spans="1:11" ht="24" customHeight="1">
      <c r="A30" t="s">
        <v>36</v>
      </c>
      <c r="B30" s="3">
        <f t="shared" si="4"/>
        <v>116754.8275862069</v>
      </c>
      <c r="C30" s="3">
        <f t="shared" si="4"/>
        <v>12357.655172413793</v>
      </c>
      <c r="D30" s="3">
        <f t="shared" si="4"/>
        <v>84770.241379310348</v>
      </c>
      <c r="E30">
        <v>29</v>
      </c>
      <c r="H30" s="9">
        <v>29</v>
      </c>
      <c r="I30" s="10" t="str">
        <f t="shared" si="2"/>
        <v>FIDESZ-KDNP</v>
      </c>
      <c r="J30" s="11">
        <f t="shared" si="0"/>
        <v>12</v>
      </c>
      <c r="K30" s="12">
        <f t="shared" si="3"/>
        <v>204861.41666666666</v>
      </c>
    </row>
    <row r="31" spans="1:11" ht="24" customHeight="1">
      <c r="A31" t="s">
        <v>37</v>
      </c>
      <c r="B31" s="3">
        <f t="shared" si="4"/>
        <v>112863</v>
      </c>
      <c r="C31" s="3">
        <f t="shared" si="4"/>
        <v>11945.733333333334</v>
      </c>
      <c r="D31" s="3">
        <f t="shared" si="4"/>
        <v>81944.566666666666</v>
      </c>
      <c r="E31">
        <v>30</v>
      </c>
      <c r="H31" s="9">
        <v>30</v>
      </c>
      <c r="I31" s="10" t="str">
        <f t="shared" si="2"/>
        <v>TISZA</v>
      </c>
      <c r="J31" s="11">
        <f t="shared" si="0"/>
        <v>17</v>
      </c>
      <c r="K31" s="12">
        <f t="shared" si="3"/>
        <v>199170</v>
      </c>
    </row>
    <row r="32" spans="1:11" ht="24" customHeight="1">
      <c r="A32" t="s">
        <v>38</v>
      </c>
      <c r="B32" s="3">
        <f t="shared" si="4"/>
        <v>109222.25806451614</v>
      </c>
      <c r="C32" s="3">
        <f t="shared" si="4"/>
        <v>11560.387096774193</v>
      </c>
      <c r="D32" s="3">
        <f t="shared" si="4"/>
        <v>79301.193548387091</v>
      </c>
      <c r="E32">
        <v>31</v>
      </c>
      <c r="H32" s="9">
        <v>31</v>
      </c>
      <c r="I32" s="10" t="str">
        <f t="shared" si="2"/>
        <v>FIDESZ-KDNP</v>
      </c>
      <c r="J32" s="11">
        <f t="shared" si="0"/>
        <v>13</v>
      </c>
      <c r="K32" s="12">
        <f t="shared" si="3"/>
        <v>189102.84615384616</v>
      </c>
    </row>
    <row r="33" spans="1:11" ht="24" customHeight="1">
      <c r="A33" t="s">
        <v>39</v>
      </c>
      <c r="B33" s="3">
        <f t="shared" si="4"/>
        <v>105809.0625</v>
      </c>
      <c r="C33" s="3">
        <f t="shared" si="4"/>
        <v>11199.125</v>
      </c>
      <c r="D33" s="3">
        <f t="shared" si="4"/>
        <v>76823.03125</v>
      </c>
      <c r="E33">
        <v>32</v>
      </c>
      <c r="H33" s="9">
        <v>32</v>
      </c>
      <c r="I33" s="10" t="str">
        <f t="shared" si="2"/>
        <v>TISZA</v>
      </c>
      <c r="J33" s="11">
        <f t="shared" si="0"/>
        <v>18</v>
      </c>
      <c r="K33" s="12">
        <f t="shared" si="3"/>
        <v>188105</v>
      </c>
    </row>
    <row r="34" spans="1:11" ht="24" customHeight="1">
      <c r="A34" t="s">
        <v>40</v>
      </c>
      <c r="B34" s="3">
        <f t="shared" si="4"/>
        <v>102602.72727272728</v>
      </c>
      <c r="C34" s="3">
        <f t="shared" si="4"/>
        <v>10859.757575757576</v>
      </c>
      <c r="D34" s="3">
        <f t="shared" si="4"/>
        <v>74495.060606060608</v>
      </c>
      <c r="E34">
        <v>33</v>
      </c>
      <c r="H34" s="9">
        <v>33</v>
      </c>
      <c r="I34" s="10" t="str">
        <f t="shared" si="2"/>
        <v>Mi Hazánk</v>
      </c>
      <c r="J34" s="11">
        <f t="shared" si="0"/>
        <v>2</v>
      </c>
      <c r="K34" s="12">
        <f t="shared" si="3"/>
        <v>179186</v>
      </c>
    </row>
    <row r="35" spans="1:11" ht="24" customHeight="1">
      <c r="A35" t="s">
        <v>41</v>
      </c>
      <c r="B35" s="3">
        <f t="shared" si="4"/>
        <v>99585</v>
      </c>
      <c r="C35" s="3">
        <f t="shared" si="4"/>
        <v>10540.35294117647</v>
      </c>
      <c r="D35" s="3">
        <f t="shared" si="4"/>
        <v>72304.029411764699</v>
      </c>
      <c r="E35">
        <v>34</v>
      </c>
      <c r="H35" s="9">
        <v>34</v>
      </c>
      <c r="I35" s="10" t="str">
        <f t="shared" si="2"/>
        <v>TISZA</v>
      </c>
      <c r="J35" s="11">
        <f t="shared" si="0"/>
        <v>19</v>
      </c>
      <c r="K35" s="12">
        <f t="shared" si="3"/>
        <v>178204.73684210525</v>
      </c>
    </row>
    <row r="36" spans="1:11" ht="24" customHeight="1">
      <c r="A36" t="s">
        <v>42</v>
      </c>
      <c r="B36" s="3">
        <f t="shared" si="4"/>
        <v>96739.71428571429</v>
      </c>
      <c r="C36" s="3">
        <f t="shared" si="4"/>
        <v>10239.200000000001</v>
      </c>
      <c r="D36" s="3">
        <f t="shared" si="4"/>
        <v>70238.2</v>
      </c>
      <c r="E36">
        <v>35</v>
      </c>
      <c r="H36" s="9">
        <v>35</v>
      </c>
      <c r="I36" s="10" t="str">
        <f t="shared" si="2"/>
        <v>FIDESZ-KDNP</v>
      </c>
      <c r="J36" s="11">
        <f t="shared" si="0"/>
        <v>14</v>
      </c>
      <c r="K36" s="12">
        <f t="shared" si="3"/>
        <v>175595.5</v>
      </c>
    </row>
    <row r="37" spans="1:11" ht="24" customHeight="1">
      <c r="A37" t="s">
        <v>43</v>
      </c>
      <c r="B37" s="3">
        <f t="shared" si="4"/>
        <v>94052.5</v>
      </c>
      <c r="C37" s="3">
        <f t="shared" si="4"/>
        <v>9954.7777777777774</v>
      </c>
      <c r="D37" s="3">
        <f t="shared" si="4"/>
        <v>68287.138888888891</v>
      </c>
      <c r="E37">
        <v>36</v>
      </c>
      <c r="H37" s="9">
        <v>36</v>
      </c>
      <c r="I37" s="10" t="str">
        <f t="shared" si="2"/>
        <v>TISZA</v>
      </c>
      <c r="J37" s="11">
        <f t="shared" si="0"/>
        <v>20</v>
      </c>
      <c r="K37" s="12">
        <f t="shared" si="3"/>
        <v>169294.5</v>
      </c>
    </row>
    <row r="38" spans="1:11" ht="24" customHeight="1">
      <c r="A38" t="s">
        <v>44</v>
      </c>
      <c r="B38" s="3">
        <f t="shared" si="4"/>
        <v>91510.540540540547</v>
      </c>
      <c r="C38" s="3">
        <f t="shared" si="4"/>
        <v>9685.72972972973</v>
      </c>
      <c r="D38" s="3">
        <f t="shared" si="4"/>
        <v>66441.540540540547</v>
      </c>
      <c r="E38">
        <v>37</v>
      </c>
      <c r="H38" s="9">
        <v>37</v>
      </c>
      <c r="I38" s="10" t="str">
        <f t="shared" si="2"/>
        <v>FIDESZ-KDNP</v>
      </c>
      <c r="J38" s="11">
        <f t="shared" si="0"/>
        <v>15</v>
      </c>
      <c r="K38" s="12">
        <f t="shared" si="3"/>
        <v>163889.13333333333</v>
      </c>
    </row>
    <row r="39" spans="1:11" ht="24" customHeight="1">
      <c r="A39" t="s">
        <v>45</v>
      </c>
      <c r="B39" s="3">
        <f t="shared" si="4"/>
        <v>89102.368421052626</v>
      </c>
      <c r="C39" s="3">
        <f t="shared" si="4"/>
        <v>9430.8421052631584</v>
      </c>
      <c r="D39" s="3">
        <f t="shared" si="4"/>
        <v>64693.07894736842</v>
      </c>
      <c r="E39">
        <v>38</v>
      </c>
      <c r="H39" s="9">
        <v>38</v>
      </c>
      <c r="I39" s="10" t="str">
        <f t="shared" si="2"/>
        <v>TISZA</v>
      </c>
      <c r="J39" s="11">
        <f t="shared" si="0"/>
        <v>21</v>
      </c>
      <c r="K39" s="12">
        <f t="shared" si="3"/>
        <v>161232.85714285713</v>
      </c>
    </row>
    <row r="40" spans="1:11" ht="24" customHeight="1">
      <c r="A40" t="s">
        <v>46</v>
      </c>
      <c r="B40" s="3">
        <f t="shared" si="4"/>
        <v>86817.692307692312</v>
      </c>
      <c r="C40" s="3">
        <f t="shared" si="4"/>
        <v>9189.0256410256407</v>
      </c>
      <c r="D40" s="3">
        <f t="shared" si="4"/>
        <v>63034.282051282054</v>
      </c>
      <c r="E40">
        <v>39</v>
      </c>
      <c r="H40" s="9">
        <v>39</v>
      </c>
      <c r="I40" s="10" t="str">
        <f t="shared" si="2"/>
        <v>TISZA</v>
      </c>
      <c r="J40" s="11">
        <f t="shared" si="0"/>
        <v>22</v>
      </c>
      <c r="K40" s="12">
        <f t="shared" si="3"/>
        <v>153904.09090909091</v>
      </c>
    </row>
    <row r="41" spans="1:11" ht="24" customHeight="1">
      <c r="A41" t="s">
        <v>47</v>
      </c>
      <c r="B41" s="3">
        <f t="shared" si="4"/>
        <v>84647.25</v>
      </c>
      <c r="C41" s="3">
        <f t="shared" si="4"/>
        <v>8959.2999999999993</v>
      </c>
      <c r="D41" s="3">
        <f t="shared" si="4"/>
        <v>61458.425000000003</v>
      </c>
      <c r="E41">
        <v>40</v>
      </c>
      <c r="H41" s="9">
        <v>40</v>
      </c>
      <c r="I41" s="10" t="str">
        <f t="shared" si="2"/>
        <v>FIDESZ-KDNP</v>
      </c>
      <c r="J41" s="11">
        <f t="shared" si="0"/>
        <v>16</v>
      </c>
      <c r="K41" s="12">
        <f t="shared" si="3"/>
        <v>153646.0625</v>
      </c>
    </row>
    <row r="42" spans="1:11" ht="24" customHeight="1">
      <c r="A42" t="s">
        <v>48</v>
      </c>
      <c r="B42" s="3">
        <f t="shared" si="4"/>
        <v>82582.682926829264</v>
      </c>
      <c r="C42" s="3">
        <f t="shared" si="4"/>
        <v>8740.7804878048773</v>
      </c>
      <c r="D42" s="3">
        <f t="shared" si="4"/>
        <v>59959.439024390245</v>
      </c>
      <c r="E42">
        <v>41</v>
      </c>
      <c r="H42" s="9">
        <v>41</v>
      </c>
      <c r="I42" s="10" t="str">
        <f t="shared" si="2"/>
        <v>TISZA</v>
      </c>
      <c r="J42" s="11">
        <f t="shared" si="0"/>
        <v>23.000000000000004</v>
      </c>
      <c r="K42" s="12">
        <f t="shared" si="3"/>
        <v>147212.60869565216</v>
      </c>
    </row>
    <row r="43" spans="1:11" ht="24" customHeight="1">
      <c r="A43" t="s">
        <v>49</v>
      </c>
      <c r="B43" s="3">
        <f t="shared" ref="B43:D62" si="5">B$2/$E43</f>
        <v>80616.428571428565</v>
      </c>
      <c r="C43" s="3">
        <f t="shared" si="5"/>
        <v>8532.6666666666661</v>
      </c>
      <c r="D43" s="3">
        <f t="shared" si="5"/>
        <v>58531.833333333336</v>
      </c>
      <c r="E43">
        <v>42</v>
      </c>
      <c r="H43" s="9">
        <v>42</v>
      </c>
      <c r="I43" s="10" t="str">
        <f t="shared" si="2"/>
        <v>FIDESZ-KDNP</v>
      </c>
      <c r="J43" s="11">
        <f t="shared" si="0"/>
        <v>17</v>
      </c>
      <c r="K43" s="12">
        <f t="shared" si="3"/>
        <v>144608.0588235294</v>
      </c>
    </row>
    <row r="44" spans="1:11" ht="24" customHeight="1">
      <c r="A44" t="s">
        <v>50</v>
      </c>
      <c r="B44" s="3">
        <f t="shared" si="5"/>
        <v>78741.627906976748</v>
      </c>
      <c r="C44" s="3">
        <f t="shared" si="5"/>
        <v>8334.2325581395344</v>
      </c>
      <c r="D44" s="3">
        <f t="shared" si="5"/>
        <v>57170.627906976741</v>
      </c>
      <c r="E44">
        <v>43</v>
      </c>
      <c r="H44" s="9">
        <v>43</v>
      </c>
      <c r="I44" s="10" t="str">
        <f t="shared" si="2"/>
        <v>TISZA</v>
      </c>
      <c r="J44" s="11">
        <f t="shared" si="0"/>
        <v>24</v>
      </c>
      <c r="K44" s="12">
        <f t="shared" si="3"/>
        <v>141078.75</v>
      </c>
    </row>
    <row r="45" spans="1:11" ht="24" customHeight="1">
      <c r="A45" t="s">
        <v>51</v>
      </c>
      <c r="B45" s="3">
        <f t="shared" si="5"/>
        <v>76952.045454545456</v>
      </c>
      <c r="C45" s="3">
        <f t="shared" si="5"/>
        <v>8144.818181818182</v>
      </c>
      <c r="D45" s="3">
        <f t="shared" si="5"/>
        <v>55871.295454545456</v>
      </c>
      <c r="E45">
        <v>44</v>
      </c>
      <c r="H45" s="9">
        <v>44</v>
      </c>
      <c r="I45" s="10" t="str">
        <f t="shared" si="2"/>
        <v>FIDESZ-KDNP</v>
      </c>
      <c r="J45" s="11">
        <f t="shared" si="0"/>
        <v>18</v>
      </c>
      <c r="K45" s="12">
        <f t="shared" si="3"/>
        <v>136574.27777777778</v>
      </c>
    </row>
    <row r="46" spans="1:11" ht="24" customHeight="1">
      <c r="A46" t="s">
        <v>52</v>
      </c>
      <c r="B46" s="3">
        <f t="shared" si="5"/>
        <v>75242</v>
      </c>
      <c r="C46" s="3">
        <f t="shared" si="5"/>
        <v>7963.8222222222221</v>
      </c>
      <c r="D46" s="3">
        <f t="shared" si="5"/>
        <v>54629.711111111108</v>
      </c>
      <c r="E46">
        <v>45</v>
      </c>
      <c r="H46" s="9">
        <v>45</v>
      </c>
      <c r="I46" s="10" t="str">
        <f t="shared" si="2"/>
        <v>TISZA</v>
      </c>
      <c r="J46" s="11">
        <f t="shared" si="0"/>
        <v>25</v>
      </c>
      <c r="K46" s="12">
        <f t="shared" si="3"/>
        <v>135435.6</v>
      </c>
    </row>
    <row r="47" spans="1:11" ht="24" customHeight="1">
      <c r="A47" t="s">
        <v>53</v>
      </c>
      <c r="B47" s="3">
        <f t="shared" si="5"/>
        <v>73606.304347826081</v>
      </c>
      <c r="C47" s="3">
        <f t="shared" si="5"/>
        <v>7790.695652173913</v>
      </c>
      <c r="D47" s="3">
        <f t="shared" si="5"/>
        <v>53442.108695652176</v>
      </c>
      <c r="E47">
        <v>46</v>
      </c>
      <c r="H47" s="9">
        <v>46</v>
      </c>
      <c r="I47" s="10" t="str">
        <f t="shared" si="2"/>
        <v>TISZA</v>
      </c>
      <c r="J47" s="11">
        <f t="shared" si="0"/>
        <v>26</v>
      </c>
      <c r="K47" s="12">
        <f t="shared" si="3"/>
        <v>130226.53846153847</v>
      </c>
    </row>
    <row r="48" spans="1:11" ht="24" customHeight="1">
      <c r="A48" t="s">
        <v>54</v>
      </c>
      <c r="B48" s="3">
        <f t="shared" si="5"/>
        <v>72040.212765957447</v>
      </c>
      <c r="C48" s="3">
        <f t="shared" si="5"/>
        <v>7624.9361702127662</v>
      </c>
      <c r="D48" s="3">
        <f t="shared" si="5"/>
        <v>52305.042553191488</v>
      </c>
      <c r="E48">
        <v>47</v>
      </c>
      <c r="H48" s="9">
        <v>47</v>
      </c>
      <c r="I48" s="10" t="str">
        <f t="shared" si="2"/>
        <v>FIDESZ-KDNP</v>
      </c>
      <c r="J48" s="11">
        <f t="shared" si="0"/>
        <v>19</v>
      </c>
      <c r="K48" s="12">
        <f t="shared" si="3"/>
        <v>129386.15789473684</v>
      </c>
    </row>
    <row r="49" spans="1:11" ht="24" customHeight="1">
      <c r="A49" t="s">
        <v>55</v>
      </c>
      <c r="B49" s="3">
        <f t="shared" si="5"/>
        <v>70539.375</v>
      </c>
      <c r="C49" s="3">
        <f t="shared" si="5"/>
        <v>7466.083333333333</v>
      </c>
      <c r="D49" s="3">
        <f t="shared" si="5"/>
        <v>51215.354166666664</v>
      </c>
      <c r="E49">
        <v>48</v>
      </c>
      <c r="H49" s="9">
        <v>48</v>
      </c>
      <c r="I49" s="10" t="str">
        <f t="shared" si="2"/>
        <v>TISZA</v>
      </c>
      <c r="J49" s="11">
        <f t="shared" si="0"/>
        <v>27</v>
      </c>
      <c r="K49" s="12">
        <f t="shared" si="3"/>
        <v>125403.33333333333</v>
      </c>
    </row>
    <row r="50" spans="1:11" ht="24" customHeight="1">
      <c r="A50" t="s">
        <v>56</v>
      </c>
      <c r="B50" s="3">
        <f t="shared" si="5"/>
        <v>69099.795918367352</v>
      </c>
      <c r="C50" s="3">
        <f t="shared" si="5"/>
        <v>7313.7142857142853</v>
      </c>
      <c r="D50" s="3">
        <f t="shared" si="5"/>
        <v>50170.142857142855</v>
      </c>
      <c r="E50">
        <v>49</v>
      </c>
      <c r="H50" s="9">
        <v>49</v>
      </c>
      <c r="I50" s="10" t="str">
        <f t="shared" si="2"/>
        <v>FIDESZ-KDNP</v>
      </c>
      <c r="J50" s="11">
        <f t="shared" si="0"/>
        <v>20</v>
      </c>
      <c r="K50" s="12">
        <f t="shared" si="3"/>
        <v>122916.85</v>
      </c>
    </row>
    <row r="51" spans="1:11" ht="24" customHeight="1">
      <c r="A51" t="s">
        <v>57</v>
      </c>
      <c r="B51" s="3">
        <f t="shared" si="5"/>
        <v>67717.8</v>
      </c>
      <c r="C51" s="3">
        <f t="shared" si="5"/>
        <v>7167.44</v>
      </c>
      <c r="D51" s="3">
        <f t="shared" si="5"/>
        <v>49166.74</v>
      </c>
      <c r="E51">
        <v>50</v>
      </c>
      <c r="H51" s="9">
        <v>50</v>
      </c>
      <c r="I51" s="10" t="str">
        <f t="shared" si="2"/>
        <v>TISZA</v>
      </c>
      <c r="J51" s="11">
        <f t="shared" si="0"/>
        <v>28</v>
      </c>
      <c r="K51" s="12">
        <f t="shared" si="3"/>
        <v>120924.64285714286</v>
      </c>
    </row>
    <row r="52" spans="1:11" ht="24" customHeight="1">
      <c r="A52" t="s">
        <v>58</v>
      </c>
      <c r="B52" s="3">
        <f t="shared" si="5"/>
        <v>66390</v>
      </c>
      <c r="C52" s="3">
        <f t="shared" si="5"/>
        <v>7026.9019607843138</v>
      </c>
      <c r="D52" s="3">
        <f t="shared" si="5"/>
        <v>48202.686274509804</v>
      </c>
      <c r="E52">
        <v>51</v>
      </c>
      <c r="H52" s="9">
        <v>51</v>
      </c>
      <c r="I52" s="10" t="str">
        <f t="shared" si="2"/>
        <v>Mi Hazánk</v>
      </c>
      <c r="J52" s="11">
        <f t="shared" si="0"/>
        <v>3</v>
      </c>
      <c r="K52" s="12">
        <f t="shared" si="3"/>
        <v>119457.33333333333</v>
      </c>
    </row>
    <row r="53" spans="1:11" ht="24" customHeight="1">
      <c r="A53" t="s">
        <v>59</v>
      </c>
      <c r="B53" s="3">
        <f t="shared" si="5"/>
        <v>65113.269230769234</v>
      </c>
      <c r="C53" s="3">
        <f t="shared" si="5"/>
        <v>6891.7692307692305</v>
      </c>
      <c r="D53" s="3">
        <f t="shared" si="5"/>
        <v>47275.711538461539</v>
      </c>
      <c r="E53">
        <v>52</v>
      </c>
      <c r="H53" s="9">
        <v>52</v>
      </c>
      <c r="I53" s="10" t="str">
        <f t="shared" si="2"/>
        <v>FIDESZ-KDNP</v>
      </c>
      <c r="J53" s="11">
        <f t="shared" si="0"/>
        <v>21</v>
      </c>
      <c r="K53" s="12">
        <f t="shared" si="3"/>
        <v>117063.66666666667</v>
      </c>
    </row>
    <row r="54" spans="1:11" ht="24" customHeight="1">
      <c r="A54" t="s">
        <v>60</v>
      </c>
      <c r="B54" s="3">
        <f t="shared" si="5"/>
        <v>63884.716981132078</v>
      </c>
      <c r="C54" s="3">
        <f t="shared" si="5"/>
        <v>6761.7358490566039</v>
      </c>
      <c r="D54" s="3">
        <f t="shared" si="5"/>
        <v>46383.716981132078</v>
      </c>
      <c r="E54">
        <v>53</v>
      </c>
      <c r="H54" s="9">
        <v>53</v>
      </c>
      <c r="I54" s="10" t="str">
        <f t="shared" si="2"/>
        <v>TISZA</v>
      </c>
      <c r="J54" s="11">
        <f t="shared" si="0"/>
        <v>29</v>
      </c>
      <c r="K54" s="12">
        <f t="shared" si="3"/>
        <v>116754.8275862069</v>
      </c>
    </row>
    <row r="55" spans="1:11" ht="24" customHeight="1">
      <c r="A55" t="s">
        <v>61</v>
      </c>
      <c r="B55" s="3">
        <f t="shared" si="5"/>
        <v>62701.666666666664</v>
      </c>
      <c r="C55" s="3">
        <f t="shared" si="5"/>
        <v>6636.5185185185182</v>
      </c>
      <c r="D55" s="3">
        <f t="shared" si="5"/>
        <v>45524.759259259263</v>
      </c>
      <c r="E55">
        <v>54</v>
      </c>
      <c r="H55" s="9">
        <v>54</v>
      </c>
      <c r="I55" s="10" t="str">
        <f t="shared" si="2"/>
        <v>TISZA</v>
      </c>
      <c r="J55" s="11">
        <f t="shared" si="0"/>
        <v>30</v>
      </c>
      <c r="K55" s="12">
        <f t="shared" si="3"/>
        <v>112863</v>
      </c>
    </row>
    <row r="56" spans="1:11" ht="24" customHeight="1">
      <c r="A56" t="s">
        <v>62</v>
      </c>
      <c r="B56" s="3">
        <f t="shared" si="5"/>
        <v>61561.63636363636</v>
      </c>
      <c r="C56" s="3">
        <f t="shared" si="5"/>
        <v>6515.8545454545456</v>
      </c>
      <c r="D56" s="3">
        <f t="shared" si="5"/>
        <v>44697.036363636362</v>
      </c>
      <c r="E56">
        <v>55</v>
      </c>
      <c r="H56" s="9">
        <v>55</v>
      </c>
      <c r="I56" s="10" t="str">
        <f t="shared" si="2"/>
        <v>FIDESZ-KDNP</v>
      </c>
      <c r="J56" s="11">
        <f t="shared" si="0"/>
        <v>22</v>
      </c>
      <c r="K56" s="12">
        <f t="shared" si="3"/>
        <v>111742.59090909091</v>
      </c>
    </row>
    <row r="57" spans="1:11" ht="24" customHeight="1">
      <c r="A57" t="s">
        <v>63</v>
      </c>
      <c r="B57" s="3">
        <f t="shared" si="5"/>
        <v>60462.321428571428</v>
      </c>
      <c r="C57" s="3">
        <f t="shared" si="5"/>
        <v>6399.5</v>
      </c>
      <c r="D57" s="3">
        <f t="shared" si="5"/>
        <v>43898.875</v>
      </c>
      <c r="E57">
        <v>56</v>
      </c>
      <c r="H57" s="9">
        <v>56</v>
      </c>
      <c r="I57" s="10" t="str">
        <f t="shared" si="2"/>
        <v>TISZA</v>
      </c>
      <c r="J57" s="11">
        <f t="shared" si="0"/>
        <v>30.999999999999996</v>
      </c>
      <c r="K57" s="12">
        <f t="shared" si="3"/>
        <v>109222.25806451614</v>
      </c>
    </row>
    <row r="58" spans="1:11" ht="24" customHeight="1">
      <c r="A58" t="s">
        <v>64</v>
      </c>
      <c r="B58" s="3">
        <f t="shared" si="5"/>
        <v>59401.57894736842</v>
      </c>
      <c r="C58" s="3">
        <f t="shared" si="5"/>
        <v>6287.2280701754389</v>
      </c>
      <c r="D58" s="3">
        <f t="shared" si="5"/>
        <v>43128.719298245611</v>
      </c>
      <c r="E58">
        <v>57</v>
      </c>
      <c r="H58" s="9">
        <v>57</v>
      </c>
      <c r="I58" s="10" t="str">
        <f t="shared" si="2"/>
        <v>FIDESZ-KDNP</v>
      </c>
      <c r="J58" s="11">
        <f t="shared" si="0"/>
        <v>23</v>
      </c>
      <c r="K58" s="12">
        <f t="shared" si="3"/>
        <v>106884.21739130435</v>
      </c>
    </row>
    <row r="59" spans="1:11" ht="24" customHeight="1">
      <c r="A59" t="s">
        <v>65</v>
      </c>
      <c r="B59" s="3">
        <f t="shared" si="5"/>
        <v>58377.413793103449</v>
      </c>
      <c r="C59" s="3">
        <f t="shared" si="5"/>
        <v>6178.8275862068967</v>
      </c>
      <c r="D59" s="3">
        <f t="shared" si="5"/>
        <v>42385.120689655174</v>
      </c>
      <c r="E59">
        <v>58</v>
      </c>
      <c r="H59" s="9">
        <v>58</v>
      </c>
      <c r="I59" s="10" t="str">
        <f t="shared" si="2"/>
        <v>TISZA</v>
      </c>
      <c r="J59" s="11">
        <f t="shared" si="0"/>
        <v>32</v>
      </c>
      <c r="K59" s="12">
        <f t="shared" si="3"/>
        <v>105809.0625</v>
      </c>
    </row>
    <row r="60" spans="1:11" ht="24" customHeight="1">
      <c r="A60" t="s">
        <v>66</v>
      </c>
      <c r="B60" s="3">
        <f t="shared" si="5"/>
        <v>57387.966101694918</v>
      </c>
      <c r="C60" s="3">
        <f t="shared" si="5"/>
        <v>6074.1016949152545</v>
      </c>
      <c r="D60" s="3">
        <f t="shared" si="5"/>
        <v>41666.728813559319</v>
      </c>
      <c r="E60">
        <v>59</v>
      </c>
      <c r="H60" s="9">
        <v>59</v>
      </c>
      <c r="I60" s="10" t="str">
        <f t="shared" si="2"/>
        <v>TISZA</v>
      </c>
      <c r="J60" s="11">
        <f t="shared" si="0"/>
        <v>33</v>
      </c>
      <c r="K60" s="12">
        <f t="shared" si="3"/>
        <v>102602.72727272728</v>
      </c>
    </row>
    <row r="61" spans="1:11" ht="24" customHeight="1">
      <c r="A61" t="s">
        <v>67</v>
      </c>
      <c r="B61" s="3">
        <f t="shared" si="5"/>
        <v>56431.5</v>
      </c>
      <c r="C61" s="3">
        <f t="shared" si="5"/>
        <v>5972.8666666666668</v>
      </c>
      <c r="D61" s="3">
        <f t="shared" si="5"/>
        <v>40972.283333333333</v>
      </c>
      <c r="E61">
        <v>60</v>
      </c>
      <c r="H61" s="9">
        <v>60</v>
      </c>
      <c r="I61" s="10" t="str">
        <f t="shared" si="2"/>
        <v>FIDESZ-KDNP</v>
      </c>
      <c r="J61" s="11">
        <f t="shared" si="0"/>
        <v>24</v>
      </c>
      <c r="K61" s="12">
        <f t="shared" si="3"/>
        <v>102430.70833333333</v>
      </c>
    </row>
    <row r="62" spans="1:11" ht="24" customHeight="1">
      <c r="A62" t="s">
        <v>68</v>
      </c>
      <c r="B62" s="3">
        <f t="shared" si="5"/>
        <v>55506.393442622953</v>
      </c>
      <c r="C62" s="3">
        <f t="shared" si="5"/>
        <v>5874.9508196721308</v>
      </c>
      <c r="D62" s="3">
        <f t="shared" si="5"/>
        <v>40300.606557377047</v>
      </c>
      <c r="E62">
        <v>61</v>
      </c>
      <c r="H62" s="9">
        <v>61</v>
      </c>
      <c r="I62" s="10" t="str">
        <f t="shared" si="2"/>
        <v>TISZA</v>
      </c>
      <c r="J62" s="11">
        <f t="shared" si="0"/>
        <v>34</v>
      </c>
      <c r="K62" s="12">
        <f t="shared" si="3"/>
        <v>99585</v>
      </c>
    </row>
    <row r="63" spans="1:11" ht="24" customHeight="1">
      <c r="A63" t="s">
        <v>69</v>
      </c>
      <c r="B63" s="3">
        <f t="shared" ref="B63:D82" si="6">B$2/$E63</f>
        <v>54611.129032258068</v>
      </c>
      <c r="C63" s="3">
        <f t="shared" si="6"/>
        <v>5780.1935483870966</v>
      </c>
      <c r="D63" s="3">
        <f t="shared" si="6"/>
        <v>39650.596774193546</v>
      </c>
      <c r="E63">
        <v>62</v>
      </c>
      <c r="H63" s="9">
        <v>62</v>
      </c>
      <c r="I63" s="10" t="str">
        <f t="shared" si="2"/>
        <v>FIDESZ-KDNP</v>
      </c>
      <c r="J63" s="11">
        <f t="shared" si="0"/>
        <v>25</v>
      </c>
      <c r="K63" s="12">
        <f t="shared" si="3"/>
        <v>98333.48</v>
      </c>
    </row>
    <row r="64" spans="1:11" ht="24" customHeight="1">
      <c r="A64" t="s">
        <v>70</v>
      </c>
      <c r="B64" s="3">
        <f t="shared" si="6"/>
        <v>53744.285714285717</v>
      </c>
      <c r="C64" s="3">
        <f t="shared" si="6"/>
        <v>5688.4444444444443</v>
      </c>
      <c r="D64" s="3">
        <f t="shared" si="6"/>
        <v>39021.222222222219</v>
      </c>
      <c r="E64">
        <v>63</v>
      </c>
      <c r="H64" s="9">
        <v>63</v>
      </c>
      <c r="I64" s="10" t="str">
        <f t="shared" si="2"/>
        <v>TISZA</v>
      </c>
      <c r="J64" s="11">
        <f t="shared" si="0"/>
        <v>35</v>
      </c>
      <c r="K64" s="12">
        <f t="shared" si="3"/>
        <v>96739.71428571429</v>
      </c>
    </row>
    <row r="65" spans="1:11" ht="24" customHeight="1">
      <c r="A65" t="s">
        <v>71</v>
      </c>
      <c r="B65" s="3">
        <f t="shared" si="6"/>
        <v>52904.53125</v>
      </c>
      <c r="C65" s="3">
        <f t="shared" si="6"/>
        <v>5599.5625</v>
      </c>
      <c r="D65" s="3">
        <f t="shared" si="6"/>
        <v>38411.515625</v>
      </c>
      <c r="E65">
        <v>64</v>
      </c>
      <c r="H65" s="9">
        <v>64</v>
      </c>
      <c r="I65" s="10" t="str">
        <f t="shared" si="2"/>
        <v>FIDESZ-KDNP</v>
      </c>
      <c r="J65" s="11">
        <f t="shared" si="0"/>
        <v>26</v>
      </c>
      <c r="K65" s="12">
        <f t="shared" si="3"/>
        <v>94551.423076923078</v>
      </c>
    </row>
    <row r="66" spans="1:11" ht="24" customHeight="1">
      <c r="A66" t="s">
        <v>72</v>
      </c>
      <c r="B66" s="3">
        <f t="shared" si="6"/>
        <v>52090.615384615383</v>
      </c>
      <c r="C66" s="3">
        <f t="shared" si="6"/>
        <v>5513.4153846153849</v>
      </c>
      <c r="D66" s="3">
        <f t="shared" si="6"/>
        <v>37820.56923076923</v>
      </c>
      <c r="E66">
        <v>65</v>
      </c>
      <c r="H66" s="9">
        <v>65</v>
      </c>
      <c r="I66" s="10" t="str">
        <f t="shared" si="2"/>
        <v>TISZA</v>
      </c>
      <c r="J66" s="11">
        <f t="shared" ref="J66:J94" si="7">IF(I66="TISZA",$B$2/K66,IF(I66="Mi Hazánk",$C$2/K66,$D$2/K66))</f>
        <v>36</v>
      </c>
      <c r="K66" s="12">
        <f t="shared" si="3"/>
        <v>94052.5</v>
      </c>
    </row>
    <row r="67" spans="1:11" ht="24" customHeight="1">
      <c r="A67" t="s">
        <v>73</v>
      </c>
      <c r="B67" s="3">
        <f t="shared" si="6"/>
        <v>51301.36363636364</v>
      </c>
      <c r="C67" s="3">
        <f t="shared" si="6"/>
        <v>5429.878787878788</v>
      </c>
      <c r="D67" s="3">
        <f t="shared" si="6"/>
        <v>37247.530303030304</v>
      </c>
      <c r="E67">
        <v>66</v>
      </c>
      <c r="H67" s="9">
        <v>66</v>
      </c>
      <c r="I67" s="10" t="str">
        <f t="shared" ref="I67:I130" si="8">IF(COUNTIF($B$2:$B$200,K67)&gt;0,"TISZA",IF(COUNTIF($C$2:$C$200,K67)&gt;0,"Mi Hazánk","FIDESZ-KDNP"))</f>
        <v>TISZA</v>
      </c>
      <c r="J67" s="11">
        <f t="shared" si="7"/>
        <v>37</v>
      </c>
      <c r="K67" s="12">
        <f t="shared" ref="K67:K130" si="9">LARGE($B$2:$D$200,H67)</f>
        <v>91510.540540540547</v>
      </c>
    </row>
    <row r="68" spans="1:11" ht="24" customHeight="1">
      <c r="A68" t="s">
        <v>74</v>
      </c>
      <c r="B68" s="3">
        <f t="shared" si="6"/>
        <v>50535.671641791043</v>
      </c>
      <c r="C68" s="3">
        <f t="shared" si="6"/>
        <v>5348.8358208955224</v>
      </c>
      <c r="D68" s="3">
        <f t="shared" si="6"/>
        <v>36691.59701492537</v>
      </c>
      <c r="E68">
        <v>67</v>
      </c>
      <c r="H68" s="9">
        <v>67</v>
      </c>
      <c r="I68" s="10" t="str">
        <f t="shared" si="8"/>
        <v>FIDESZ-KDNP</v>
      </c>
      <c r="J68" s="11">
        <f t="shared" si="7"/>
        <v>26.999999999999996</v>
      </c>
      <c r="K68" s="12">
        <f t="shared" si="9"/>
        <v>91049.518518518526</v>
      </c>
    </row>
    <row r="69" spans="1:11" ht="24" customHeight="1">
      <c r="A69" t="s">
        <v>75</v>
      </c>
      <c r="B69" s="3">
        <f t="shared" si="6"/>
        <v>49792.5</v>
      </c>
      <c r="C69" s="3">
        <f t="shared" si="6"/>
        <v>5270.1764705882351</v>
      </c>
      <c r="D69" s="3">
        <f t="shared" si="6"/>
        <v>36152.01470588235</v>
      </c>
      <c r="E69">
        <v>68</v>
      </c>
      <c r="H69" s="9">
        <v>68</v>
      </c>
      <c r="I69" s="10" t="str">
        <f t="shared" si="8"/>
        <v>Mi Hazánk</v>
      </c>
      <c r="J69" s="11">
        <f t="shared" si="7"/>
        <v>4</v>
      </c>
      <c r="K69" s="12">
        <f t="shared" si="9"/>
        <v>89593</v>
      </c>
    </row>
    <row r="70" spans="1:11" ht="24" customHeight="1">
      <c r="A70" t="s">
        <v>76</v>
      </c>
      <c r="B70" s="3">
        <f t="shared" si="6"/>
        <v>49070.869565217392</v>
      </c>
      <c r="C70" s="3">
        <f t="shared" si="6"/>
        <v>5193.797101449275</v>
      </c>
      <c r="D70" s="3">
        <f t="shared" si="6"/>
        <v>35628.072463768112</v>
      </c>
      <c r="E70">
        <v>69</v>
      </c>
      <c r="H70" s="9">
        <v>69</v>
      </c>
      <c r="I70" s="10" t="str">
        <f t="shared" si="8"/>
        <v>TISZA</v>
      </c>
      <c r="J70" s="11">
        <f t="shared" si="7"/>
        <v>38</v>
      </c>
      <c r="K70" s="12">
        <f t="shared" si="9"/>
        <v>89102.368421052626</v>
      </c>
    </row>
    <row r="71" spans="1:11" ht="24" customHeight="1">
      <c r="A71" t="s">
        <v>77</v>
      </c>
      <c r="B71" s="3">
        <f t="shared" si="6"/>
        <v>48369.857142857145</v>
      </c>
      <c r="C71" s="3">
        <f t="shared" si="6"/>
        <v>5119.6000000000004</v>
      </c>
      <c r="D71" s="3">
        <f t="shared" si="6"/>
        <v>35119.1</v>
      </c>
      <c r="E71">
        <v>70</v>
      </c>
      <c r="H71" s="9">
        <v>70</v>
      </c>
      <c r="I71" s="10" t="str">
        <f t="shared" si="8"/>
        <v>FIDESZ-KDNP</v>
      </c>
      <c r="J71" s="11">
        <f t="shared" si="7"/>
        <v>28</v>
      </c>
      <c r="K71" s="12">
        <f t="shared" si="9"/>
        <v>87797.75</v>
      </c>
    </row>
    <row r="72" spans="1:11" ht="24" customHeight="1">
      <c r="A72" t="s">
        <v>78</v>
      </c>
      <c r="B72" s="3">
        <f t="shared" si="6"/>
        <v>47688.591549295772</v>
      </c>
      <c r="C72" s="3">
        <f t="shared" si="6"/>
        <v>5047.4929577464791</v>
      </c>
      <c r="D72" s="3">
        <f t="shared" si="6"/>
        <v>34624.464788732395</v>
      </c>
      <c r="E72">
        <v>71</v>
      </c>
      <c r="H72" s="9">
        <v>71</v>
      </c>
      <c r="I72" s="10" t="str">
        <f t="shared" si="8"/>
        <v>TISZA</v>
      </c>
      <c r="J72" s="11">
        <f t="shared" si="7"/>
        <v>39</v>
      </c>
      <c r="K72" s="12">
        <f t="shared" si="9"/>
        <v>86817.692307692312</v>
      </c>
    </row>
    <row r="73" spans="1:11" ht="24" customHeight="1">
      <c r="A73" t="s">
        <v>79</v>
      </c>
      <c r="B73" s="3">
        <f t="shared" si="6"/>
        <v>47026.25</v>
      </c>
      <c r="C73" s="3">
        <f t="shared" si="6"/>
        <v>4977.3888888888887</v>
      </c>
      <c r="D73" s="3">
        <f t="shared" si="6"/>
        <v>34143.569444444445</v>
      </c>
      <c r="E73">
        <v>72</v>
      </c>
      <c r="H73" s="9">
        <v>72</v>
      </c>
      <c r="I73" s="10" t="str">
        <f t="shared" si="8"/>
        <v>FIDESZ-KDNP</v>
      </c>
      <c r="J73" s="11">
        <f t="shared" si="7"/>
        <v>29</v>
      </c>
      <c r="K73" s="12">
        <f t="shared" si="9"/>
        <v>84770.241379310348</v>
      </c>
    </row>
    <row r="74" spans="1:11" ht="24" customHeight="1">
      <c r="A74" t="s">
        <v>80</v>
      </c>
      <c r="B74" s="3">
        <f t="shared" si="6"/>
        <v>46382.054794520547</v>
      </c>
      <c r="C74" s="3">
        <f t="shared" si="6"/>
        <v>4909.2054794520545</v>
      </c>
      <c r="D74" s="3">
        <f t="shared" si="6"/>
        <v>33675.849315068495</v>
      </c>
      <c r="E74">
        <v>73</v>
      </c>
      <c r="H74" s="9">
        <v>73</v>
      </c>
      <c r="I74" s="10" t="str">
        <f t="shared" si="8"/>
        <v>TISZA</v>
      </c>
      <c r="J74" s="11">
        <f t="shared" si="7"/>
        <v>40</v>
      </c>
      <c r="K74" s="12">
        <f t="shared" si="9"/>
        <v>84647.25</v>
      </c>
    </row>
    <row r="75" spans="1:11" ht="24" customHeight="1">
      <c r="A75" t="s">
        <v>81</v>
      </c>
      <c r="B75" s="3">
        <f t="shared" si="6"/>
        <v>45755.270270270274</v>
      </c>
      <c r="C75" s="3">
        <f t="shared" si="6"/>
        <v>4842.864864864865</v>
      </c>
      <c r="D75" s="3">
        <f t="shared" si="6"/>
        <v>33220.770270270274</v>
      </c>
      <c r="E75">
        <v>74</v>
      </c>
      <c r="H75" s="9">
        <v>74</v>
      </c>
      <c r="I75" s="10" t="str">
        <f t="shared" si="8"/>
        <v>TISZA</v>
      </c>
      <c r="J75" s="11">
        <f t="shared" si="7"/>
        <v>41</v>
      </c>
      <c r="K75" s="12">
        <f t="shared" si="9"/>
        <v>82582.682926829264</v>
      </c>
    </row>
    <row r="76" spans="1:11" ht="24" customHeight="1">
      <c r="A76" t="s">
        <v>82</v>
      </c>
      <c r="B76" s="3">
        <f t="shared" si="6"/>
        <v>45145.2</v>
      </c>
      <c r="C76" s="3">
        <f t="shared" si="6"/>
        <v>4778.2933333333331</v>
      </c>
      <c r="D76" s="3">
        <f t="shared" si="6"/>
        <v>32777.826666666668</v>
      </c>
      <c r="E76">
        <v>75</v>
      </c>
      <c r="H76" s="9">
        <v>75</v>
      </c>
      <c r="I76" s="10" t="str">
        <f t="shared" si="8"/>
        <v>FIDESZ-KDNP</v>
      </c>
      <c r="J76" s="11">
        <f t="shared" si="7"/>
        <v>30</v>
      </c>
      <c r="K76" s="12">
        <f t="shared" si="9"/>
        <v>81944.566666666666</v>
      </c>
    </row>
    <row r="77" spans="1:11" ht="24" customHeight="1">
      <c r="A77" t="s">
        <v>83</v>
      </c>
      <c r="B77" s="3">
        <f t="shared" si="6"/>
        <v>44551.184210526313</v>
      </c>
      <c r="C77" s="3">
        <f t="shared" si="6"/>
        <v>4715.4210526315792</v>
      </c>
      <c r="D77" s="3">
        <f t="shared" si="6"/>
        <v>32346.53947368421</v>
      </c>
      <c r="E77">
        <v>76</v>
      </c>
      <c r="H77" s="9">
        <v>76</v>
      </c>
      <c r="I77" s="10" t="str">
        <f t="shared" si="8"/>
        <v>TISZA</v>
      </c>
      <c r="J77" s="11">
        <f t="shared" si="7"/>
        <v>42</v>
      </c>
      <c r="K77" s="12">
        <f t="shared" si="9"/>
        <v>80616.428571428565</v>
      </c>
    </row>
    <row r="78" spans="1:11" ht="24" customHeight="1">
      <c r="A78" t="s">
        <v>84</v>
      </c>
      <c r="B78" s="3">
        <f t="shared" si="6"/>
        <v>43972.597402597399</v>
      </c>
      <c r="C78" s="3">
        <f t="shared" si="6"/>
        <v>4654.181818181818</v>
      </c>
      <c r="D78" s="3">
        <f t="shared" si="6"/>
        <v>31926.454545454544</v>
      </c>
      <c r="E78">
        <v>77</v>
      </c>
      <c r="H78" s="9">
        <v>77</v>
      </c>
      <c r="I78" s="10" t="str">
        <f t="shared" si="8"/>
        <v>FIDESZ-KDNP</v>
      </c>
      <c r="J78" s="11">
        <f t="shared" si="7"/>
        <v>31.000000000000004</v>
      </c>
      <c r="K78" s="12">
        <f t="shared" si="9"/>
        <v>79301.193548387091</v>
      </c>
    </row>
    <row r="79" spans="1:11" ht="24" customHeight="1">
      <c r="A79" t="s">
        <v>85</v>
      </c>
      <c r="B79" s="3">
        <f t="shared" si="6"/>
        <v>43408.846153846156</v>
      </c>
      <c r="C79" s="3">
        <f t="shared" si="6"/>
        <v>4594.5128205128203</v>
      </c>
      <c r="D79" s="3">
        <f t="shared" si="6"/>
        <v>31517.141025641027</v>
      </c>
      <c r="E79">
        <v>78</v>
      </c>
      <c r="H79" s="9">
        <v>78</v>
      </c>
      <c r="I79" s="10" t="str">
        <f t="shared" si="8"/>
        <v>TISZA</v>
      </c>
      <c r="J79" s="11">
        <f t="shared" si="7"/>
        <v>43</v>
      </c>
      <c r="K79" s="12">
        <f t="shared" si="9"/>
        <v>78741.627906976748</v>
      </c>
    </row>
    <row r="80" spans="1:11" ht="24" customHeight="1">
      <c r="A80" t="s">
        <v>86</v>
      </c>
      <c r="B80" s="3">
        <f t="shared" si="6"/>
        <v>42859.367088607592</v>
      </c>
      <c r="C80" s="3">
        <f t="shared" si="6"/>
        <v>4536.3544303797471</v>
      </c>
      <c r="D80" s="3">
        <f t="shared" si="6"/>
        <v>31118.189873417723</v>
      </c>
      <c r="E80">
        <v>79</v>
      </c>
      <c r="H80" s="9">
        <v>79</v>
      </c>
      <c r="I80" s="10" t="str">
        <f t="shared" si="8"/>
        <v>TISZA</v>
      </c>
      <c r="J80" s="11">
        <f t="shared" si="7"/>
        <v>44</v>
      </c>
      <c r="K80" s="12">
        <f t="shared" si="9"/>
        <v>76952.045454545456</v>
      </c>
    </row>
    <row r="81" spans="1:11" ht="24" customHeight="1">
      <c r="A81" t="s">
        <v>87</v>
      </c>
      <c r="B81" s="3">
        <f t="shared" si="6"/>
        <v>42323.625</v>
      </c>
      <c r="C81" s="3">
        <f t="shared" si="6"/>
        <v>4479.6499999999996</v>
      </c>
      <c r="D81" s="3">
        <f t="shared" si="6"/>
        <v>30729.212500000001</v>
      </c>
      <c r="E81">
        <v>80</v>
      </c>
      <c r="H81" s="9">
        <v>80</v>
      </c>
      <c r="I81" s="10" t="str">
        <f t="shared" si="8"/>
        <v>FIDESZ-KDNP</v>
      </c>
      <c r="J81" s="11">
        <f t="shared" si="7"/>
        <v>32</v>
      </c>
      <c r="K81" s="12">
        <f t="shared" si="9"/>
        <v>76823.03125</v>
      </c>
    </row>
    <row r="82" spans="1:11" ht="24" customHeight="1">
      <c r="A82" t="s">
        <v>88</v>
      </c>
      <c r="B82" s="3">
        <f t="shared" si="6"/>
        <v>41801.111111111109</v>
      </c>
      <c r="C82" s="3">
        <f t="shared" si="6"/>
        <v>4424.3456790123455</v>
      </c>
      <c r="D82" s="3">
        <f t="shared" si="6"/>
        <v>30349.839506172841</v>
      </c>
      <c r="E82">
        <v>81</v>
      </c>
      <c r="H82" s="9">
        <v>81</v>
      </c>
      <c r="I82" s="10" t="str">
        <f t="shared" si="8"/>
        <v>TISZA</v>
      </c>
      <c r="J82" s="11">
        <f t="shared" si="7"/>
        <v>45</v>
      </c>
      <c r="K82" s="12">
        <f t="shared" si="9"/>
        <v>75242</v>
      </c>
    </row>
    <row r="83" spans="1:11" ht="24" customHeight="1">
      <c r="A83" t="s">
        <v>89</v>
      </c>
      <c r="B83" s="3">
        <f t="shared" ref="B83:D98" si="10">B$2/$E83</f>
        <v>41291.341463414632</v>
      </c>
      <c r="C83" s="3">
        <f t="shared" si="10"/>
        <v>4370.3902439024387</v>
      </c>
      <c r="D83" s="3">
        <f t="shared" si="10"/>
        <v>29979.719512195123</v>
      </c>
      <c r="E83">
        <v>82</v>
      </c>
      <c r="H83" s="9">
        <v>82</v>
      </c>
      <c r="I83" s="10" t="str">
        <f t="shared" si="8"/>
        <v>FIDESZ-KDNP</v>
      </c>
      <c r="J83" s="11">
        <f t="shared" si="7"/>
        <v>33</v>
      </c>
      <c r="K83" s="12">
        <f t="shared" si="9"/>
        <v>74495.060606060608</v>
      </c>
    </row>
    <row r="84" spans="1:11" ht="24" customHeight="1">
      <c r="A84" t="s">
        <v>90</v>
      </c>
      <c r="B84" s="3">
        <f t="shared" si="10"/>
        <v>40793.855421686749</v>
      </c>
      <c r="C84" s="3">
        <f t="shared" si="10"/>
        <v>4317.734939759036</v>
      </c>
      <c r="D84" s="3">
        <f t="shared" si="10"/>
        <v>29618.518072289156</v>
      </c>
      <c r="E84">
        <v>83</v>
      </c>
      <c r="H84" s="9">
        <v>83</v>
      </c>
      <c r="I84" s="10" t="str">
        <f t="shared" si="8"/>
        <v>TISZA</v>
      </c>
      <c r="J84" s="11">
        <f t="shared" si="7"/>
        <v>46.000000000000007</v>
      </c>
      <c r="K84" s="12">
        <f t="shared" si="9"/>
        <v>73606.304347826081</v>
      </c>
    </row>
    <row r="85" spans="1:11" ht="24" customHeight="1">
      <c r="A85" t="s">
        <v>91</v>
      </c>
      <c r="B85" s="3">
        <f t="shared" si="10"/>
        <v>40308.214285714283</v>
      </c>
      <c r="C85" s="3">
        <f t="shared" si="10"/>
        <v>4266.333333333333</v>
      </c>
      <c r="D85" s="3">
        <f t="shared" si="10"/>
        <v>29265.916666666668</v>
      </c>
      <c r="E85">
        <v>84</v>
      </c>
      <c r="H85" s="9">
        <v>84</v>
      </c>
      <c r="I85" s="10" t="str">
        <f t="shared" si="8"/>
        <v>FIDESZ-KDNP</v>
      </c>
      <c r="J85" s="11">
        <f t="shared" si="7"/>
        <v>34</v>
      </c>
      <c r="K85" s="12">
        <f t="shared" si="9"/>
        <v>72304.029411764699</v>
      </c>
    </row>
    <row r="86" spans="1:11" ht="24" customHeight="1">
      <c r="A86" t="s">
        <v>92</v>
      </c>
      <c r="B86" s="3">
        <f t="shared" si="10"/>
        <v>39834</v>
      </c>
      <c r="C86" s="3">
        <f t="shared" si="10"/>
        <v>4216.1411764705881</v>
      </c>
      <c r="D86" s="3">
        <f t="shared" si="10"/>
        <v>28921.611764705882</v>
      </c>
      <c r="E86">
        <v>85</v>
      </c>
      <c r="H86" s="9">
        <v>85</v>
      </c>
      <c r="I86" s="10" t="str">
        <f t="shared" si="8"/>
        <v>TISZA</v>
      </c>
      <c r="J86" s="11">
        <f t="shared" si="7"/>
        <v>47</v>
      </c>
      <c r="K86" s="12">
        <f t="shared" si="9"/>
        <v>72040.212765957447</v>
      </c>
    </row>
    <row r="87" spans="1:11" ht="24" customHeight="1">
      <c r="A87" t="s">
        <v>93</v>
      </c>
      <c r="B87" s="3">
        <f t="shared" si="10"/>
        <v>39370.813953488374</v>
      </c>
      <c r="C87" s="3">
        <f t="shared" si="10"/>
        <v>4167.1162790697672</v>
      </c>
      <c r="D87" s="3">
        <f t="shared" si="10"/>
        <v>28585.31395348837</v>
      </c>
      <c r="E87">
        <v>86</v>
      </c>
      <c r="H87" s="9">
        <v>86</v>
      </c>
      <c r="I87" s="10" t="str">
        <f t="shared" si="8"/>
        <v>Mi Hazánk</v>
      </c>
      <c r="J87" s="11">
        <f t="shared" si="7"/>
        <v>5</v>
      </c>
      <c r="K87" s="12">
        <f t="shared" si="9"/>
        <v>71674.399999999994</v>
      </c>
    </row>
    <row r="88" spans="1:11" ht="24" customHeight="1">
      <c r="A88" t="s">
        <v>94</v>
      </c>
      <c r="B88" s="3">
        <f t="shared" si="10"/>
        <v>38918.275862068964</v>
      </c>
      <c r="C88" s="3">
        <f t="shared" si="10"/>
        <v>4119.2183908045981</v>
      </c>
      <c r="D88" s="3">
        <f t="shared" si="10"/>
        <v>28256.747126436781</v>
      </c>
      <c r="E88">
        <v>87</v>
      </c>
      <c r="H88" s="9">
        <v>87</v>
      </c>
      <c r="I88" s="10" t="str">
        <f t="shared" si="8"/>
        <v>TISZA</v>
      </c>
      <c r="J88" s="11">
        <f t="shared" si="7"/>
        <v>48</v>
      </c>
      <c r="K88" s="12">
        <f t="shared" si="9"/>
        <v>70539.375</v>
      </c>
    </row>
    <row r="89" spans="1:11" ht="24" customHeight="1">
      <c r="A89" t="s">
        <v>95</v>
      </c>
      <c r="B89" s="3">
        <f t="shared" si="10"/>
        <v>38476.022727272728</v>
      </c>
      <c r="C89" s="3">
        <f t="shared" si="10"/>
        <v>4072.409090909091</v>
      </c>
      <c r="D89" s="3">
        <f t="shared" si="10"/>
        <v>27935.647727272728</v>
      </c>
      <c r="E89">
        <v>88</v>
      </c>
      <c r="H89" s="9">
        <v>88</v>
      </c>
      <c r="I89" s="10" t="str">
        <f t="shared" si="8"/>
        <v>FIDESZ-KDNP</v>
      </c>
      <c r="J89" s="11">
        <f t="shared" si="7"/>
        <v>35</v>
      </c>
      <c r="K89" s="12">
        <f t="shared" si="9"/>
        <v>70238.2</v>
      </c>
    </row>
    <row r="90" spans="1:11" ht="24" customHeight="1">
      <c r="A90" t="s">
        <v>96</v>
      </c>
      <c r="B90" s="3">
        <f t="shared" si="10"/>
        <v>38043.707865168537</v>
      </c>
      <c r="C90" s="3">
        <f t="shared" si="10"/>
        <v>4026.6516853932585</v>
      </c>
      <c r="D90" s="3">
        <f t="shared" si="10"/>
        <v>27621.764044943819</v>
      </c>
      <c r="E90">
        <v>89</v>
      </c>
      <c r="H90" s="9">
        <v>89</v>
      </c>
      <c r="I90" s="10" t="str">
        <f t="shared" si="8"/>
        <v>TISZA</v>
      </c>
      <c r="J90" s="11">
        <f t="shared" si="7"/>
        <v>48.999999999999993</v>
      </c>
      <c r="K90" s="12">
        <f t="shared" si="9"/>
        <v>69099.795918367352</v>
      </c>
    </row>
    <row r="91" spans="1:11" ht="24" customHeight="1">
      <c r="A91" t="s">
        <v>97</v>
      </c>
      <c r="B91" s="3">
        <f t="shared" si="10"/>
        <v>37621</v>
      </c>
      <c r="C91" s="3">
        <f t="shared" si="10"/>
        <v>3981.911111111111</v>
      </c>
      <c r="D91" s="3">
        <f t="shared" si="10"/>
        <v>27314.855555555554</v>
      </c>
      <c r="E91">
        <v>90</v>
      </c>
      <c r="H91" s="9">
        <v>90</v>
      </c>
      <c r="I91" s="10" t="str">
        <f t="shared" si="8"/>
        <v>FIDESZ-KDNP</v>
      </c>
      <c r="J91" s="11">
        <f t="shared" si="7"/>
        <v>36</v>
      </c>
      <c r="K91" s="12">
        <f t="shared" si="9"/>
        <v>68287.138888888891</v>
      </c>
    </row>
    <row r="92" spans="1:11" ht="24" customHeight="1">
      <c r="A92" t="s">
        <v>98</v>
      </c>
      <c r="B92" s="3">
        <f t="shared" si="10"/>
        <v>37207.582417582416</v>
      </c>
      <c r="C92" s="3">
        <f t="shared" si="10"/>
        <v>3938.1538461538462</v>
      </c>
      <c r="D92" s="3">
        <f t="shared" si="10"/>
        <v>27014.692307692309</v>
      </c>
      <c r="E92">
        <v>91</v>
      </c>
      <c r="H92" s="9">
        <v>91</v>
      </c>
      <c r="I92" s="10" t="str">
        <f t="shared" si="8"/>
        <v>TISZA</v>
      </c>
      <c r="J92" s="11">
        <f t="shared" si="7"/>
        <v>50</v>
      </c>
      <c r="K92" s="12">
        <f t="shared" si="9"/>
        <v>67717.8</v>
      </c>
    </row>
    <row r="93" spans="1:11" ht="24" customHeight="1">
      <c r="A93" t="s">
        <v>99</v>
      </c>
      <c r="B93" s="3">
        <f t="shared" si="10"/>
        <v>36803.15217391304</v>
      </c>
      <c r="C93" s="3">
        <f t="shared" si="10"/>
        <v>3895.3478260869565</v>
      </c>
      <c r="D93" s="3">
        <f t="shared" si="10"/>
        <v>26721.054347826088</v>
      </c>
      <c r="E93">
        <v>92</v>
      </c>
      <c r="H93" s="9">
        <v>92</v>
      </c>
      <c r="I93" s="10" t="str">
        <f t="shared" si="8"/>
        <v>FIDESZ-KDNP</v>
      </c>
      <c r="J93" s="11">
        <f t="shared" si="7"/>
        <v>36.999999999999993</v>
      </c>
      <c r="K93" s="12">
        <f t="shared" si="9"/>
        <v>66441.540540540547</v>
      </c>
    </row>
    <row r="94" spans="1:11" ht="24" customHeight="1">
      <c r="A94" t="s">
        <v>100</v>
      </c>
      <c r="B94" s="3">
        <f t="shared" si="10"/>
        <v>36407.419354838712</v>
      </c>
      <c r="C94" s="3">
        <f t="shared" si="10"/>
        <v>3853.4623655913979</v>
      </c>
      <c r="D94" s="3">
        <f t="shared" si="10"/>
        <v>26433.731182795698</v>
      </c>
      <c r="E94">
        <v>93</v>
      </c>
      <c r="H94" s="9">
        <v>93</v>
      </c>
      <c r="I94" s="10" t="str">
        <f t="shared" si="8"/>
        <v>TISZA</v>
      </c>
      <c r="J94" s="11">
        <f t="shared" si="7"/>
        <v>51</v>
      </c>
      <c r="K94" s="12">
        <f t="shared" si="9"/>
        <v>66390</v>
      </c>
    </row>
    <row r="95" spans="1:11" ht="21">
      <c r="A95" t="s">
        <v>105</v>
      </c>
      <c r="B95" s="3">
        <f t="shared" si="10"/>
        <v>36020.106382978724</v>
      </c>
      <c r="C95" s="3">
        <f t="shared" si="10"/>
        <v>3812.4680851063831</v>
      </c>
      <c r="D95" s="3">
        <f t="shared" si="10"/>
        <v>26152.521276595744</v>
      </c>
      <c r="E95">
        <v>94</v>
      </c>
      <c r="H95" s="9">
        <v>94</v>
      </c>
      <c r="I95" s="10" t="str">
        <f t="shared" si="8"/>
        <v>TISZA</v>
      </c>
      <c r="J95" s="11">
        <f t="shared" ref="J95:J116" si="11">IF(I95="TISZA",$B$2/K95,IF(I95="Mi Hazánk",$C$2/K95,$D$2/K95))</f>
        <v>52</v>
      </c>
      <c r="K95" s="12">
        <f t="shared" si="9"/>
        <v>65113.269230769234</v>
      </c>
    </row>
    <row r="96" spans="1:11" ht="21">
      <c r="A96" t="s">
        <v>106</v>
      </c>
      <c r="B96" s="3">
        <f t="shared" si="10"/>
        <v>35640.947368421053</v>
      </c>
      <c r="C96" s="3">
        <f t="shared" si="10"/>
        <v>3772.3368421052633</v>
      </c>
      <c r="D96" s="3">
        <f t="shared" si="10"/>
        <v>25877.231578947369</v>
      </c>
      <c r="E96">
        <v>95</v>
      </c>
      <c r="H96" s="9">
        <v>95</v>
      </c>
      <c r="I96" s="10" t="str">
        <f t="shared" si="8"/>
        <v>FIDESZ-KDNP</v>
      </c>
      <c r="J96" s="11">
        <f t="shared" si="11"/>
        <v>38</v>
      </c>
      <c r="K96" s="12">
        <f t="shared" si="9"/>
        <v>64693.07894736842</v>
      </c>
    </row>
    <row r="97" spans="1:11" ht="21">
      <c r="A97" t="s">
        <v>107</v>
      </c>
      <c r="B97" s="3">
        <f t="shared" si="10"/>
        <v>35269.6875</v>
      </c>
      <c r="C97" s="3">
        <f t="shared" si="10"/>
        <v>3733.0416666666665</v>
      </c>
      <c r="D97" s="3">
        <f t="shared" si="10"/>
        <v>25607.677083333332</v>
      </c>
      <c r="E97">
        <v>96</v>
      </c>
      <c r="H97" s="9">
        <v>96</v>
      </c>
      <c r="I97" s="10" t="str">
        <f t="shared" si="8"/>
        <v>TISZA</v>
      </c>
      <c r="J97" s="11">
        <f t="shared" si="11"/>
        <v>53</v>
      </c>
      <c r="K97" s="12">
        <f t="shared" si="9"/>
        <v>63884.716981132078</v>
      </c>
    </row>
    <row r="98" spans="1:11" ht="21">
      <c r="A98" t="s">
        <v>108</v>
      </c>
      <c r="B98" s="3">
        <f t="shared" si="10"/>
        <v>34906.082474226801</v>
      </c>
      <c r="C98" s="3">
        <f t="shared" si="10"/>
        <v>3694.5567010309278</v>
      </c>
      <c r="D98" s="3">
        <f t="shared" si="10"/>
        <v>25343.680412371134</v>
      </c>
      <c r="E98">
        <v>97</v>
      </c>
      <c r="H98" s="9">
        <v>97</v>
      </c>
      <c r="I98" s="10" t="str">
        <f t="shared" si="8"/>
        <v>FIDESZ-KDNP</v>
      </c>
      <c r="J98" s="11">
        <f t="shared" si="11"/>
        <v>39</v>
      </c>
      <c r="K98" s="12">
        <f t="shared" si="9"/>
        <v>63034.282051282054</v>
      </c>
    </row>
    <row r="99" spans="1:11" ht="21">
      <c r="A99" t="s">
        <v>109</v>
      </c>
      <c r="B99" s="3">
        <f t="shared" ref="B99:D114" si="12">B$2/$E99</f>
        <v>34549.897959183676</v>
      </c>
      <c r="C99" s="3">
        <f t="shared" si="12"/>
        <v>3656.8571428571427</v>
      </c>
      <c r="D99" s="3">
        <f t="shared" si="12"/>
        <v>25085.071428571428</v>
      </c>
      <c r="E99">
        <v>98</v>
      </c>
      <c r="H99" s="9">
        <v>98</v>
      </c>
      <c r="I99" s="10" t="str">
        <f t="shared" si="8"/>
        <v>TISZA</v>
      </c>
      <c r="J99" s="11">
        <f t="shared" si="11"/>
        <v>54</v>
      </c>
      <c r="K99" s="12">
        <f t="shared" si="9"/>
        <v>62701.666666666664</v>
      </c>
    </row>
    <row r="100" spans="1:11" ht="21">
      <c r="A100" t="s">
        <v>110</v>
      </c>
      <c r="B100" s="3">
        <f t="shared" si="12"/>
        <v>34200.909090909088</v>
      </c>
      <c r="C100" s="3">
        <f t="shared" si="12"/>
        <v>3619.9191919191921</v>
      </c>
      <c r="D100" s="3">
        <f t="shared" si="12"/>
        <v>24831.686868686869</v>
      </c>
      <c r="E100">
        <v>99</v>
      </c>
      <c r="H100" s="9">
        <v>99</v>
      </c>
      <c r="I100" s="10" t="str">
        <f t="shared" si="8"/>
        <v>TISZA</v>
      </c>
      <c r="J100" s="11">
        <f t="shared" si="11"/>
        <v>55</v>
      </c>
      <c r="K100" s="12">
        <f t="shared" si="9"/>
        <v>61561.63636363636</v>
      </c>
    </row>
    <row r="101" spans="1:11" ht="21">
      <c r="A101" t="s">
        <v>111</v>
      </c>
      <c r="B101" s="3">
        <f t="shared" si="12"/>
        <v>33858.9</v>
      </c>
      <c r="C101" s="3">
        <f t="shared" si="12"/>
        <v>3583.72</v>
      </c>
      <c r="D101" s="3">
        <f t="shared" si="12"/>
        <v>24583.37</v>
      </c>
      <c r="E101">
        <v>100</v>
      </c>
      <c r="H101" s="9">
        <v>100</v>
      </c>
      <c r="I101" s="10" t="str">
        <f t="shared" si="8"/>
        <v>FIDESZ-KDNP</v>
      </c>
      <c r="J101" s="11">
        <f t="shared" si="11"/>
        <v>40</v>
      </c>
      <c r="K101" s="12">
        <f t="shared" si="9"/>
        <v>61458.425000000003</v>
      </c>
    </row>
    <row r="102" spans="1:11" ht="21">
      <c r="A102" t="s">
        <v>112</v>
      </c>
      <c r="B102" s="3">
        <f t="shared" si="12"/>
        <v>33523.66336633663</v>
      </c>
      <c r="C102" s="3">
        <f t="shared" si="12"/>
        <v>3548.2376237623762</v>
      </c>
      <c r="D102" s="3">
        <f t="shared" si="12"/>
        <v>24339.970297029704</v>
      </c>
      <c r="E102">
        <v>101</v>
      </c>
      <c r="H102" s="9">
        <v>101</v>
      </c>
      <c r="I102" s="10" t="str">
        <f t="shared" si="8"/>
        <v>TISZA</v>
      </c>
      <c r="J102" s="11">
        <f t="shared" si="11"/>
        <v>56</v>
      </c>
      <c r="K102" s="12">
        <f t="shared" si="9"/>
        <v>60462.321428571428</v>
      </c>
    </row>
    <row r="103" spans="1:11" ht="21">
      <c r="A103" t="s">
        <v>113</v>
      </c>
      <c r="B103" s="3">
        <f t="shared" si="12"/>
        <v>33195</v>
      </c>
      <c r="C103" s="3">
        <f t="shared" si="12"/>
        <v>3513.4509803921569</v>
      </c>
      <c r="D103" s="3">
        <f t="shared" si="12"/>
        <v>24101.343137254902</v>
      </c>
      <c r="E103">
        <v>102</v>
      </c>
      <c r="H103" s="9">
        <v>102</v>
      </c>
      <c r="I103" s="10" t="str">
        <f t="shared" si="8"/>
        <v>FIDESZ-KDNP</v>
      </c>
      <c r="J103" s="11">
        <f t="shared" si="11"/>
        <v>41</v>
      </c>
      <c r="K103" s="12">
        <f t="shared" si="9"/>
        <v>59959.439024390245</v>
      </c>
    </row>
    <row r="104" spans="1:11" ht="21">
      <c r="A104" t="s">
        <v>114</v>
      </c>
      <c r="B104" s="3">
        <f t="shared" si="12"/>
        <v>32872.718446601939</v>
      </c>
      <c r="C104" s="3">
        <f t="shared" si="12"/>
        <v>3479.3398058252428</v>
      </c>
      <c r="D104" s="3">
        <f t="shared" si="12"/>
        <v>23867.349514563106</v>
      </c>
      <c r="E104">
        <v>103</v>
      </c>
      <c r="H104" s="9">
        <v>103</v>
      </c>
      <c r="I104" s="10" t="str">
        <f t="shared" si="8"/>
        <v>Mi Hazánk</v>
      </c>
      <c r="J104" s="11">
        <f t="shared" si="11"/>
        <v>6</v>
      </c>
      <c r="K104" s="12">
        <f t="shared" si="9"/>
        <v>59728.666666666664</v>
      </c>
    </row>
    <row r="105" spans="1:11" ht="21">
      <c r="A105" t="s">
        <v>115</v>
      </c>
      <c r="B105" s="3">
        <f t="shared" si="12"/>
        <v>32556.634615384617</v>
      </c>
      <c r="C105" s="3">
        <f t="shared" si="12"/>
        <v>3445.8846153846152</v>
      </c>
      <c r="D105" s="3">
        <f t="shared" si="12"/>
        <v>23637.85576923077</v>
      </c>
      <c r="E105">
        <v>104</v>
      </c>
      <c r="H105" s="9">
        <v>104</v>
      </c>
      <c r="I105" s="10" t="str">
        <f t="shared" si="8"/>
        <v>TISZA</v>
      </c>
      <c r="J105" s="11">
        <f t="shared" si="11"/>
        <v>57</v>
      </c>
      <c r="K105" s="12">
        <f t="shared" si="9"/>
        <v>59401.57894736842</v>
      </c>
    </row>
    <row r="106" spans="1:11" ht="21">
      <c r="A106" t="s">
        <v>116</v>
      </c>
      <c r="B106" s="3">
        <f t="shared" si="12"/>
        <v>32246.571428571428</v>
      </c>
      <c r="C106" s="3">
        <f t="shared" si="12"/>
        <v>3413.0666666666666</v>
      </c>
      <c r="D106" s="3">
        <f t="shared" si="12"/>
        <v>23412.733333333334</v>
      </c>
      <c r="E106">
        <v>105</v>
      </c>
      <c r="H106" s="9">
        <v>105</v>
      </c>
      <c r="I106" s="10" t="str">
        <f t="shared" si="8"/>
        <v>FIDESZ-KDNP</v>
      </c>
      <c r="J106" s="11">
        <f t="shared" si="11"/>
        <v>42</v>
      </c>
      <c r="K106" s="12">
        <f t="shared" si="9"/>
        <v>58531.833333333336</v>
      </c>
    </row>
    <row r="107" spans="1:11" ht="21">
      <c r="A107" t="s">
        <v>117</v>
      </c>
      <c r="B107" s="3">
        <f t="shared" si="12"/>
        <v>31942.358490566039</v>
      </c>
      <c r="C107" s="3">
        <f t="shared" si="12"/>
        <v>3380.867924528302</v>
      </c>
      <c r="D107" s="3">
        <f t="shared" si="12"/>
        <v>23191.858490566039</v>
      </c>
      <c r="E107">
        <v>106</v>
      </c>
      <c r="H107" s="9">
        <v>106</v>
      </c>
      <c r="I107" s="10" t="str">
        <f t="shared" si="8"/>
        <v>TISZA</v>
      </c>
      <c r="J107" s="11">
        <f t="shared" si="11"/>
        <v>58</v>
      </c>
      <c r="K107" s="12">
        <f t="shared" si="9"/>
        <v>58377.413793103449</v>
      </c>
    </row>
    <row r="108" spans="1:11" ht="21">
      <c r="A108" t="s">
        <v>118</v>
      </c>
      <c r="B108" s="3">
        <f t="shared" si="12"/>
        <v>31643.831775700935</v>
      </c>
      <c r="C108" s="3">
        <f t="shared" si="12"/>
        <v>3349.2710280373831</v>
      </c>
      <c r="D108" s="3">
        <f t="shared" si="12"/>
        <v>22975.11214953271</v>
      </c>
      <c r="E108">
        <v>107</v>
      </c>
      <c r="H108" s="9">
        <v>107</v>
      </c>
      <c r="I108" s="10" t="str">
        <f t="shared" si="8"/>
        <v>TISZA</v>
      </c>
      <c r="J108" s="11">
        <f t="shared" si="11"/>
        <v>59</v>
      </c>
      <c r="K108" s="12">
        <f t="shared" si="9"/>
        <v>57387.966101694918</v>
      </c>
    </row>
    <row r="109" spans="1:11" ht="21">
      <c r="A109" t="s">
        <v>119</v>
      </c>
      <c r="B109" s="3">
        <f t="shared" si="12"/>
        <v>31350.833333333332</v>
      </c>
      <c r="C109" s="3">
        <f t="shared" si="12"/>
        <v>3318.2592592592591</v>
      </c>
      <c r="D109" s="3">
        <f t="shared" si="12"/>
        <v>22762.379629629631</v>
      </c>
      <c r="E109">
        <v>108</v>
      </c>
      <c r="H109" s="9">
        <v>108</v>
      </c>
      <c r="I109" s="10" t="str">
        <f t="shared" si="8"/>
        <v>FIDESZ-KDNP</v>
      </c>
      <c r="J109" s="11">
        <f t="shared" si="11"/>
        <v>43</v>
      </c>
      <c r="K109" s="12">
        <f t="shared" si="9"/>
        <v>57170.627906976741</v>
      </c>
    </row>
    <row r="110" spans="1:11" ht="21">
      <c r="A110" t="s">
        <v>120</v>
      </c>
      <c r="B110" s="3">
        <f t="shared" si="12"/>
        <v>31063.211009174312</v>
      </c>
      <c r="C110" s="3">
        <f t="shared" si="12"/>
        <v>3287.8165137614678</v>
      </c>
      <c r="D110" s="3">
        <f t="shared" si="12"/>
        <v>22553.550458715596</v>
      </c>
      <c r="E110">
        <v>109</v>
      </c>
      <c r="H110" s="9">
        <v>109</v>
      </c>
      <c r="I110" s="10" t="str">
        <f t="shared" si="8"/>
        <v>TISZA</v>
      </c>
      <c r="J110" s="11">
        <f t="shared" si="11"/>
        <v>60</v>
      </c>
      <c r="K110" s="12">
        <f t="shared" si="9"/>
        <v>56431.5</v>
      </c>
    </row>
    <row r="111" spans="1:11" ht="21">
      <c r="A111" t="s">
        <v>121</v>
      </c>
      <c r="B111" s="3">
        <f t="shared" si="12"/>
        <v>30780.81818181818</v>
      </c>
      <c r="C111" s="3">
        <f t="shared" si="12"/>
        <v>3257.9272727272728</v>
      </c>
      <c r="D111" s="3">
        <f t="shared" si="12"/>
        <v>22348.518181818181</v>
      </c>
      <c r="E111">
        <v>110</v>
      </c>
      <c r="H111" s="9">
        <v>110</v>
      </c>
      <c r="I111" s="10" t="str">
        <f t="shared" si="8"/>
        <v>FIDESZ-KDNP</v>
      </c>
      <c r="J111" s="11">
        <f t="shared" si="11"/>
        <v>44</v>
      </c>
      <c r="K111" s="12">
        <f t="shared" si="9"/>
        <v>55871.295454545456</v>
      </c>
    </row>
    <row r="112" spans="1:11" ht="21">
      <c r="A112" t="s">
        <v>122</v>
      </c>
      <c r="B112" s="3">
        <f t="shared" si="12"/>
        <v>30503.513513513513</v>
      </c>
      <c r="C112" s="3">
        <f t="shared" si="12"/>
        <v>3228.5765765765764</v>
      </c>
      <c r="D112" s="3">
        <f t="shared" si="12"/>
        <v>22147.180180180181</v>
      </c>
      <c r="E112">
        <v>111</v>
      </c>
      <c r="H112" s="9">
        <v>111</v>
      </c>
      <c r="I112" s="10" t="str">
        <f t="shared" si="8"/>
        <v>TISZA</v>
      </c>
      <c r="J112" s="11">
        <f t="shared" si="11"/>
        <v>61</v>
      </c>
      <c r="K112" s="12">
        <f t="shared" si="9"/>
        <v>55506.393442622953</v>
      </c>
    </row>
    <row r="113" spans="1:11" ht="21">
      <c r="A113" t="s">
        <v>123</v>
      </c>
      <c r="B113" s="3">
        <f t="shared" si="12"/>
        <v>30231.160714285714</v>
      </c>
      <c r="C113" s="3">
        <f t="shared" si="12"/>
        <v>3199.75</v>
      </c>
      <c r="D113" s="3">
        <f t="shared" si="12"/>
        <v>21949.4375</v>
      </c>
      <c r="E113">
        <v>112</v>
      </c>
      <c r="H113" s="9">
        <v>112</v>
      </c>
      <c r="I113" s="10" t="str">
        <f t="shared" si="8"/>
        <v>FIDESZ-KDNP</v>
      </c>
      <c r="J113" s="11">
        <f t="shared" si="11"/>
        <v>45</v>
      </c>
      <c r="K113" s="12">
        <f t="shared" si="9"/>
        <v>54629.711111111108</v>
      </c>
    </row>
    <row r="114" spans="1:11" ht="21">
      <c r="A114" t="s">
        <v>124</v>
      </c>
      <c r="B114" s="3">
        <f t="shared" si="12"/>
        <v>29963.628318584069</v>
      </c>
      <c r="C114" s="3">
        <f t="shared" si="12"/>
        <v>3171.4336283185839</v>
      </c>
      <c r="D114" s="3">
        <f t="shared" si="12"/>
        <v>21755.194690265485</v>
      </c>
      <c r="E114">
        <v>113</v>
      </c>
      <c r="H114" s="9">
        <v>113</v>
      </c>
      <c r="I114" s="10" t="str">
        <f t="shared" si="8"/>
        <v>TISZA</v>
      </c>
      <c r="J114" s="11">
        <f t="shared" si="11"/>
        <v>61.999999999999993</v>
      </c>
      <c r="K114" s="12">
        <f t="shared" si="9"/>
        <v>54611.129032258068</v>
      </c>
    </row>
    <row r="115" spans="1:11" ht="21">
      <c r="A115" t="s">
        <v>125</v>
      </c>
      <c r="B115" s="3">
        <f t="shared" ref="B115:D178" si="13">B$2/$E115</f>
        <v>29700.78947368421</v>
      </c>
      <c r="C115" s="3">
        <f t="shared" si="13"/>
        <v>3143.6140350877195</v>
      </c>
      <c r="D115" s="3">
        <f t="shared" si="13"/>
        <v>21564.359649122805</v>
      </c>
      <c r="E115">
        <v>114</v>
      </c>
      <c r="H115" s="9">
        <v>114</v>
      </c>
      <c r="I115" s="10" t="str">
        <f t="shared" si="8"/>
        <v>TISZA</v>
      </c>
      <c r="J115" s="11">
        <f t="shared" si="11"/>
        <v>62.999999999999993</v>
      </c>
      <c r="K115" s="12">
        <f t="shared" si="9"/>
        <v>53744.285714285717</v>
      </c>
    </row>
    <row r="116" spans="1:11" ht="21">
      <c r="A116" t="s">
        <v>126</v>
      </c>
      <c r="B116" s="3">
        <f t="shared" si="13"/>
        <v>29442.521739130436</v>
      </c>
      <c r="C116" s="3">
        <f t="shared" si="13"/>
        <v>3116.2782608695652</v>
      </c>
      <c r="D116" s="3">
        <f t="shared" si="13"/>
        <v>21376.843478260871</v>
      </c>
      <c r="E116">
        <v>115</v>
      </c>
      <c r="H116" s="9">
        <v>115</v>
      </c>
      <c r="I116" s="10" t="str">
        <f t="shared" si="8"/>
        <v>FIDESZ-KDNP</v>
      </c>
      <c r="J116" s="11">
        <f t="shared" si="11"/>
        <v>46</v>
      </c>
      <c r="K116" s="12">
        <f t="shared" si="9"/>
        <v>53442.108695652176</v>
      </c>
    </row>
    <row r="117" spans="1:11" ht="21">
      <c r="A117" t="s">
        <v>127</v>
      </c>
      <c r="B117" s="3">
        <f t="shared" si="13"/>
        <v>29188.706896551725</v>
      </c>
      <c r="C117" s="3">
        <f t="shared" si="13"/>
        <v>3089.4137931034484</v>
      </c>
      <c r="D117" s="3">
        <f t="shared" si="13"/>
        <v>21192.560344827587</v>
      </c>
      <c r="E117">
        <v>116</v>
      </c>
      <c r="H117" s="9">
        <v>116</v>
      </c>
      <c r="I117" s="10" t="str">
        <f t="shared" si="8"/>
        <v>TISZA</v>
      </c>
      <c r="J117" s="11">
        <f t="shared" ref="J117:J180" si="14">IF(I117="TISZA",$B$2/K117,IF(I117="Mi Hazánk",$C$2/K117,$D$2/K117))</f>
        <v>64</v>
      </c>
      <c r="K117" s="12">
        <f t="shared" si="9"/>
        <v>52904.53125</v>
      </c>
    </row>
    <row r="118" spans="1:11" ht="21">
      <c r="A118" t="s">
        <v>128</v>
      </c>
      <c r="B118" s="3">
        <f t="shared" si="13"/>
        <v>28939.23076923077</v>
      </c>
      <c r="C118" s="3">
        <f t="shared" si="13"/>
        <v>3063.0085470085469</v>
      </c>
      <c r="D118" s="3">
        <f t="shared" si="13"/>
        <v>21011.427350427351</v>
      </c>
      <c r="E118">
        <v>117</v>
      </c>
      <c r="H118" s="9">
        <v>117</v>
      </c>
      <c r="I118" s="10" t="str">
        <f t="shared" si="8"/>
        <v>FIDESZ-KDNP</v>
      </c>
      <c r="J118" s="11">
        <f t="shared" si="14"/>
        <v>47</v>
      </c>
      <c r="K118" s="12">
        <f t="shared" si="9"/>
        <v>52305.042553191488</v>
      </c>
    </row>
    <row r="119" spans="1:11" ht="21">
      <c r="A119" t="s">
        <v>129</v>
      </c>
      <c r="B119" s="3">
        <f t="shared" si="13"/>
        <v>28693.983050847459</v>
      </c>
      <c r="C119" s="3">
        <f t="shared" si="13"/>
        <v>3037.0508474576272</v>
      </c>
      <c r="D119" s="3">
        <f t="shared" si="13"/>
        <v>20833.364406779659</v>
      </c>
      <c r="E119">
        <v>118</v>
      </c>
      <c r="H119" s="9">
        <v>118</v>
      </c>
      <c r="I119" s="10" t="str">
        <f t="shared" si="8"/>
        <v>TISZA</v>
      </c>
      <c r="J119" s="11">
        <f t="shared" si="14"/>
        <v>65</v>
      </c>
      <c r="K119" s="12">
        <f t="shared" si="9"/>
        <v>52090.615384615383</v>
      </c>
    </row>
    <row r="120" spans="1:11" ht="21">
      <c r="A120" t="s">
        <v>130</v>
      </c>
      <c r="B120" s="3">
        <f t="shared" si="13"/>
        <v>28452.857142857141</v>
      </c>
      <c r="C120" s="3">
        <f t="shared" si="13"/>
        <v>3011.5294117647059</v>
      </c>
      <c r="D120" s="3">
        <f t="shared" si="13"/>
        <v>20658.294117647059</v>
      </c>
      <c r="E120">
        <v>119</v>
      </c>
      <c r="H120" s="9">
        <v>119</v>
      </c>
      <c r="I120" s="10" t="str">
        <f t="shared" si="8"/>
        <v>TISZA</v>
      </c>
      <c r="J120" s="11">
        <f t="shared" si="14"/>
        <v>66</v>
      </c>
      <c r="K120" s="12">
        <f t="shared" si="9"/>
        <v>51301.36363636364</v>
      </c>
    </row>
    <row r="121" spans="1:11" ht="21">
      <c r="A121" t="s">
        <v>131</v>
      </c>
      <c r="B121" s="3">
        <f t="shared" si="13"/>
        <v>28215.75</v>
      </c>
      <c r="C121" s="3">
        <f t="shared" si="13"/>
        <v>2986.4333333333334</v>
      </c>
      <c r="D121" s="3">
        <f t="shared" si="13"/>
        <v>20486.141666666666</v>
      </c>
      <c r="E121">
        <v>120</v>
      </c>
      <c r="H121" s="9">
        <v>120</v>
      </c>
      <c r="I121" s="10" t="str">
        <f t="shared" si="8"/>
        <v>FIDESZ-KDNP</v>
      </c>
      <c r="J121" s="11">
        <f t="shared" si="14"/>
        <v>48</v>
      </c>
      <c r="K121" s="12">
        <f t="shared" si="9"/>
        <v>51215.354166666664</v>
      </c>
    </row>
    <row r="122" spans="1:11" ht="21">
      <c r="A122" t="s">
        <v>132</v>
      </c>
      <c r="B122" s="3">
        <f t="shared" si="13"/>
        <v>27982.561983471074</v>
      </c>
      <c r="C122" s="3">
        <f t="shared" si="13"/>
        <v>2961.7520661157023</v>
      </c>
      <c r="D122" s="3">
        <f t="shared" si="13"/>
        <v>20316.834710743802</v>
      </c>
      <c r="E122">
        <v>121</v>
      </c>
      <c r="H122" s="9">
        <v>121</v>
      </c>
      <c r="I122" s="10" t="str">
        <f t="shared" si="8"/>
        <v>Mi Hazánk</v>
      </c>
      <c r="J122" s="11">
        <f t="shared" si="14"/>
        <v>7</v>
      </c>
      <c r="K122" s="12">
        <f t="shared" si="9"/>
        <v>51196</v>
      </c>
    </row>
    <row r="123" spans="1:11" ht="21">
      <c r="A123" t="s">
        <v>133</v>
      </c>
      <c r="B123" s="3">
        <f t="shared" si="13"/>
        <v>27753.196721311477</v>
      </c>
      <c r="C123" s="3">
        <f t="shared" si="13"/>
        <v>2937.4754098360654</v>
      </c>
      <c r="D123" s="3">
        <f t="shared" si="13"/>
        <v>20150.303278688523</v>
      </c>
      <c r="E123">
        <v>122</v>
      </c>
      <c r="H123" s="9">
        <v>122</v>
      </c>
      <c r="I123" s="10" t="str">
        <f t="shared" si="8"/>
        <v>TISZA</v>
      </c>
      <c r="J123" s="11">
        <f t="shared" si="14"/>
        <v>67</v>
      </c>
      <c r="K123" s="12">
        <f t="shared" si="9"/>
        <v>50535.671641791043</v>
      </c>
    </row>
    <row r="124" spans="1:11" ht="21">
      <c r="A124" t="s">
        <v>134</v>
      </c>
      <c r="B124" s="3">
        <f t="shared" si="13"/>
        <v>27527.560975609755</v>
      </c>
      <c r="C124" s="3">
        <f t="shared" si="13"/>
        <v>2913.5934959349593</v>
      </c>
      <c r="D124" s="3">
        <f t="shared" si="13"/>
        <v>19986.479674796748</v>
      </c>
      <c r="E124">
        <v>123</v>
      </c>
      <c r="H124" s="9">
        <v>123</v>
      </c>
      <c r="I124" s="10" t="str">
        <f t="shared" si="8"/>
        <v>FIDESZ-KDNP</v>
      </c>
      <c r="J124" s="11">
        <f t="shared" si="14"/>
        <v>49</v>
      </c>
      <c r="K124" s="12">
        <f t="shared" si="9"/>
        <v>50170.142857142855</v>
      </c>
    </row>
    <row r="125" spans="1:11" ht="21">
      <c r="A125" t="s">
        <v>135</v>
      </c>
      <c r="B125" s="3">
        <f t="shared" si="13"/>
        <v>27305.564516129034</v>
      </c>
      <c r="C125" s="3">
        <f t="shared" si="13"/>
        <v>2890.0967741935483</v>
      </c>
      <c r="D125" s="3">
        <f t="shared" si="13"/>
        <v>19825.298387096773</v>
      </c>
      <c r="E125">
        <v>124</v>
      </c>
      <c r="H125" s="9">
        <v>124</v>
      </c>
      <c r="I125" s="10" t="str">
        <f t="shared" si="8"/>
        <v>TISZA</v>
      </c>
      <c r="J125" s="11">
        <f t="shared" si="14"/>
        <v>68</v>
      </c>
      <c r="K125" s="12">
        <f t="shared" si="9"/>
        <v>49792.5</v>
      </c>
    </row>
    <row r="126" spans="1:11" ht="21">
      <c r="A126" t="s">
        <v>136</v>
      </c>
      <c r="B126" s="3">
        <f t="shared" si="13"/>
        <v>27087.119999999999</v>
      </c>
      <c r="C126" s="3">
        <f t="shared" si="13"/>
        <v>2866.9760000000001</v>
      </c>
      <c r="D126" s="3">
        <f t="shared" si="13"/>
        <v>19666.696</v>
      </c>
      <c r="E126">
        <v>125</v>
      </c>
      <c r="H126" s="9">
        <v>125</v>
      </c>
      <c r="I126" s="10" t="str">
        <f t="shared" si="8"/>
        <v>FIDESZ-KDNP</v>
      </c>
      <c r="J126" s="11">
        <f t="shared" si="14"/>
        <v>50</v>
      </c>
      <c r="K126" s="12">
        <f t="shared" si="9"/>
        <v>49166.74</v>
      </c>
    </row>
    <row r="127" spans="1:11" ht="21">
      <c r="A127" t="s">
        <v>137</v>
      </c>
      <c r="B127" s="3">
        <f t="shared" si="13"/>
        <v>26872.142857142859</v>
      </c>
      <c r="C127" s="3">
        <f t="shared" si="13"/>
        <v>2844.2222222222222</v>
      </c>
      <c r="D127" s="3">
        <f t="shared" si="13"/>
        <v>19510.611111111109</v>
      </c>
      <c r="E127">
        <v>126</v>
      </c>
      <c r="H127" s="9">
        <v>126</v>
      </c>
      <c r="I127" s="10" t="str">
        <f t="shared" si="8"/>
        <v>TISZA</v>
      </c>
      <c r="J127" s="11">
        <f t="shared" si="14"/>
        <v>69</v>
      </c>
      <c r="K127" s="12">
        <f t="shared" si="9"/>
        <v>49070.869565217392</v>
      </c>
    </row>
    <row r="128" spans="1:11" ht="21">
      <c r="A128" t="s">
        <v>138</v>
      </c>
      <c r="B128" s="3">
        <f t="shared" si="13"/>
        <v>26660.551181102361</v>
      </c>
      <c r="C128" s="3">
        <f t="shared" si="13"/>
        <v>2821.8267716535433</v>
      </c>
      <c r="D128" s="3">
        <f t="shared" si="13"/>
        <v>19356.984251968504</v>
      </c>
      <c r="E128">
        <v>127</v>
      </c>
      <c r="H128" s="9">
        <v>127</v>
      </c>
      <c r="I128" s="10" t="str">
        <f t="shared" si="8"/>
        <v>TISZA</v>
      </c>
      <c r="J128" s="11">
        <f t="shared" si="14"/>
        <v>70</v>
      </c>
      <c r="K128" s="12">
        <f t="shared" si="9"/>
        <v>48369.857142857145</v>
      </c>
    </row>
    <row r="129" spans="1:11" ht="21">
      <c r="A129" t="s">
        <v>139</v>
      </c>
      <c r="B129" s="3">
        <f t="shared" si="13"/>
        <v>26452.265625</v>
      </c>
      <c r="C129" s="3">
        <f t="shared" si="13"/>
        <v>2799.78125</v>
      </c>
      <c r="D129" s="3">
        <f t="shared" si="13"/>
        <v>19205.7578125</v>
      </c>
      <c r="E129">
        <v>128</v>
      </c>
      <c r="H129" s="9">
        <v>128</v>
      </c>
      <c r="I129" s="10" t="str">
        <f t="shared" si="8"/>
        <v>FIDESZ-KDNP</v>
      </c>
      <c r="J129" s="11">
        <f t="shared" si="14"/>
        <v>51</v>
      </c>
      <c r="K129" s="12">
        <f t="shared" si="9"/>
        <v>48202.686274509804</v>
      </c>
    </row>
    <row r="130" spans="1:11" ht="21">
      <c r="A130" t="s">
        <v>140</v>
      </c>
      <c r="B130" s="3">
        <f t="shared" si="13"/>
        <v>26247.20930232558</v>
      </c>
      <c r="C130" s="3">
        <f t="shared" si="13"/>
        <v>2778.0775193798449</v>
      </c>
      <c r="D130" s="3">
        <f t="shared" si="13"/>
        <v>19056.875968992248</v>
      </c>
      <c r="E130">
        <v>129</v>
      </c>
      <c r="H130" s="9">
        <v>129</v>
      </c>
      <c r="I130" s="10" t="str">
        <f t="shared" si="8"/>
        <v>TISZA</v>
      </c>
      <c r="J130" s="11">
        <f t="shared" si="14"/>
        <v>71</v>
      </c>
      <c r="K130" s="12">
        <f t="shared" si="9"/>
        <v>47688.591549295772</v>
      </c>
    </row>
    <row r="131" spans="1:11" ht="21">
      <c r="A131" t="s">
        <v>141</v>
      </c>
      <c r="B131" s="3">
        <f t="shared" si="13"/>
        <v>26045.307692307691</v>
      </c>
      <c r="C131" s="3">
        <f t="shared" si="13"/>
        <v>2756.7076923076925</v>
      </c>
      <c r="D131" s="3">
        <f t="shared" si="13"/>
        <v>18910.284615384615</v>
      </c>
      <c r="E131">
        <v>130</v>
      </c>
      <c r="H131" s="9">
        <v>130</v>
      </c>
      <c r="I131" s="10" t="str">
        <f t="shared" ref="I131:I194" si="15">IF(COUNTIF($B$2:$B$200,K131)&gt;0,"TISZA",IF(COUNTIF($C$2:$C$200,K131)&gt;0,"Mi Hazánk","FIDESZ-KDNP"))</f>
        <v>FIDESZ-KDNP</v>
      </c>
      <c r="J131" s="11">
        <f t="shared" si="14"/>
        <v>52</v>
      </c>
      <c r="K131" s="12">
        <f t="shared" ref="K131:K194" si="16">LARGE($B$2:$D$200,H131)</f>
        <v>47275.711538461539</v>
      </c>
    </row>
    <row r="132" spans="1:11" ht="21">
      <c r="A132" t="s">
        <v>142</v>
      </c>
      <c r="B132" s="3">
        <f t="shared" si="13"/>
        <v>25846.48854961832</v>
      </c>
      <c r="C132" s="3">
        <f t="shared" si="13"/>
        <v>2735.6641221374048</v>
      </c>
      <c r="D132" s="3">
        <f t="shared" si="13"/>
        <v>18765.931297709925</v>
      </c>
      <c r="E132">
        <v>131</v>
      </c>
      <c r="H132" s="9">
        <v>131</v>
      </c>
      <c r="I132" s="10" t="str">
        <f t="shared" si="15"/>
        <v>TISZA</v>
      </c>
      <c r="J132" s="11">
        <f t="shared" si="14"/>
        <v>72</v>
      </c>
      <c r="K132" s="12">
        <f t="shared" si="16"/>
        <v>47026.25</v>
      </c>
    </row>
    <row r="133" spans="1:11" ht="21">
      <c r="A133" t="s">
        <v>143</v>
      </c>
      <c r="B133" s="3">
        <f t="shared" si="13"/>
        <v>25650.68181818182</v>
      </c>
      <c r="C133" s="3">
        <f t="shared" si="13"/>
        <v>2714.939393939394</v>
      </c>
      <c r="D133" s="3">
        <f t="shared" si="13"/>
        <v>18623.765151515152</v>
      </c>
      <c r="E133">
        <v>132</v>
      </c>
      <c r="H133" s="9">
        <v>132</v>
      </c>
      <c r="I133" s="10" t="str">
        <f t="shared" si="15"/>
        <v>FIDESZ-KDNP</v>
      </c>
      <c r="J133" s="11">
        <f t="shared" si="14"/>
        <v>53</v>
      </c>
      <c r="K133" s="12">
        <f t="shared" si="16"/>
        <v>46383.716981132078</v>
      </c>
    </row>
    <row r="134" spans="1:11" ht="21">
      <c r="A134" t="s">
        <v>144</v>
      </c>
      <c r="B134" s="3">
        <f t="shared" si="13"/>
        <v>25457.819548872179</v>
      </c>
      <c r="C134" s="3">
        <f t="shared" si="13"/>
        <v>2694.5263157894738</v>
      </c>
      <c r="D134" s="3">
        <f t="shared" si="13"/>
        <v>18483.736842105263</v>
      </c>
      <c r="E134">
        <v>133</v>
      </c>
      <c r="H134" s="9">
        <v>133</v>
      </c>
      <c r="I134" s="10" t="str">
        <f t="shared" si="15"/>
        <v>TISZA</v>
      </c>
      <c r="J134" s="11">
        <f t="shared" si="14"/>
        <v>73</v>
      </c>
      <c r="K134" s="12">
        <f t="shared" si="16"/>
        <v>46382.054794520547</v>
      </c>
    </row>
    <row r="135" spans="1:11" ht="21">
      <c r="A135" t="s">
        <v>145</v>
      </c>
      <c r="B135" s="3">
        <f t="shared" si="13"/>
        <v>25267.835820895521</v>
      </c>
      <c r="C135" s="3">
        <f t="shared" si="13"/>
        <v>2674.4179104477612</v>
      </c>
      <c r="D135" s="3">
        <f t="shared" si="13"/>
        <v>18345.798507462685</v>
      </c>
      <c r="E135">
        <v>134</v>
      </c>
      <c r="H135" s="9">
        <v>134</v>
      </c>
      <c r="I135" s="10" t="str">
        <f t="shared" si="15"/>
        <v>TISZA</v>
      </c>
      <c r="J135" s="11">
        <f t="shared" si="14"/>
        <v>74</v>
      </c>
      <c r="K135" s="12">
        <f t="shared" si="16"/>
        <v>45755.270270270274</v>
      </c>
    </row>
    <row r="136" spans="1:11" ht="21">
      <c r="A136" t="s">
        <v>146</v>
      </c>
      <c r="B136" s="3">
        <f t="shared" si="13"/>
        <v>25080.666666666668</v>
      </c>
      <c r="C136" s="3">
        <f t="shared" si="13"/>
        <v>2654.6074074074072</v>
      </c>
      <c r="D136" s="3">
        <f t="shared" si="13"/>
        <v>18209.903703703705</v>
      </c>
      <c r="E136">
        <v>135</v>
      </c>
      <c r="H136" s="9">
        <v>135</v>
      </c>
      <c r="I136" s="10" t="str">
        <f t="shared" si="15"/>
        <v>FIDESZ-KDNP</v>
      </c>
      <c r="J136" s="11">
        <f t="shared" si="14"/>
        <v>53.999999999999993</v>
      </c>
      <c r="K136" s="12">
        <f t="shared" si="16"/>
        <v>45524.759259259263</v>
      </c>
    </row>
    <row r="137" spans="1:11" ht="21">
      <c r="A137" t="s">
        <v>147</v>
      </c>
      <c r="B137" s="3">
        <f t="shared" si="13"/>
        <v>24896.25</v>
      </c>
      <c r="C137" s="3">
        <f t="shared" si="13"/>
        <v>2635.0882352941176</v>
      </c>
      <c r="D137" s="3">
        <f t="shared" si="13"/>
        <v>18076.007352941175</v>
      </c>
      <c r="E137">
        <v>136</v>
      </c>
      <c r="H137" s="9">
        <v>136</v>
      </c>
      <c r="I137" s="10" t="str">
        <f t="shared" si="15"/>
        <v>TISZA</v>
      </c>
      <c r="J137" s="11">
        <f t="shared" si="14"/>
        <v>75</v>
      </c>
      <c r="K137" s="12">
        <f t="shared" si="16"/>
        <v>45145.2</v>
      </c>
    </row>
    <row r="138" spans="1:11" ht="21">
      <c r="A138" t="s">
        <v>148</v>
      </c>
      <c r="B138" s="3">
        <f t="shared" si="13"/>
        <v>24714.525547445257</v>
      </c>
      <c r="C138" s="3">
        <f t="shared" si="13"/>
        <v>2615.8540145985403</v>
      </c>
      <c r="D138" s="3">
        <f t="shared" si="13"/>
        <v>17944.065693430657</v>
      </c>
      <c r="E138">
        <v>137</v>
      </c>
      <c r="H138" s="9">
        <v>137</v>
      </c>
      <c r="I138" s="10" t="str">
        <f t="shared" si="15"/>
        <v>Mi Hazánk</v>
      </c>
      <c r="J138" s="11">
        <f t="shared" si="14"/>
        <v>8</v>
      </c>
      <c r="K138" s="12">
        <f t="shared" si="16"/>
        <v>44796.5</v>
      </c>
    </row>
    <row r="139" spans="1:11" ht="21">
      <c r="A139" t="s">
        <v>149</v>
      </c>
      <c r="B139" s="3">
        <f t="shared" si="13"/>
        <v>24535.434782608696</v>
      </c>
      <c r="C139" s="3">
        <f t="shared" si="13"/>
        <v>2596.8985507246375</v>
      </c>
      <c r="D139" s="3">
        <f t="shared" si="13"/>
        <v>17814.036231884056</v>
      </c>
      <c r="E139">
        <v>138</v>
      </c>
      <c r="H139" s="9">
        <v>138</v>
      </c>
      <c r="I139" s="10" t="str">
        <f t="shared" si="15"/>
        <v>FIDESZ-KDNP</v>
      </c>
      <c r="J139" s="11">
        <f t="shared" si="14"/>
        <v>55</v>
      </c>
      <c r="K139" s="12">
        <f t="shared" si="16"/>
        <v>44697.036363636362</v>
      </c>
    </row>
    <row r="140" spans="1:11" ht="21">
      <c r="A140" t="s">
        <v>150</v>
      </c>
      <c r="B140" s="3">
        <f t="shared" si="13"/>
        <v>24358.920863309351</v>
      </c>
      <c r="C140" s="3">
        <f t="shared" si="13"/>
        <v>2578.2158273381297</v>
      </c>
      <c r="D140" s="3">
        <f t="shared" si="13"/>
        <v>17685.877697841726</v>
      </c>
      <c r="E140">
        <v>139</v>
      </c>
      <c r="H140" s="9">
        <v>139</v>
      </c>
      <c r="I140" s="10" t="str">
        <f t="shared" si="15"/>
        <v>TISZA</v>
      </c>
      <c r="J140" s="11">
        <f t="shared" si="14"/>
        <v>76</v>
      </c>
      <c r="K140" s="12">
        <f t="shared" si="16"/>
        <v>44551.184210526313</v>
      </c>
    </row>
    <row r="141" spans="1:11" ht="21">
      <c r="A141" t="s">
        <v>151</v>
      </c>
      <c r="B141" s="3">
        <f t="shared" si="13"/>
        <v>24184.928571428572</v>
      </c>
      <c r="C141" s="3">
        <f t="shared" si="13"/>
        <v>2559.8000000000002</v>
      </c>
      <c r="D141" s="3">
        <f t="shared" si="13"/>
        <v>17559.55</v>
      </c>
      <c r="E141">
        <v>140</v>
      </c>
      <c r="H141" s="9">
        <v>140</v>
      </c>
      <c r="I141" s="10" t="str">
        <f t="shared" si="15"/>
        <v>TISZA</v>
      </c>
      <c r="J141" s="11">
        <f t="shared" si="14"/>
        <v>77</v>
      </c>
      <c r="K141" s="12">
        <f t="shared" si="16"/>
        <v>43972.597402597399</v>
      </c>
    </row>
    <row r="142" spans="1:11" ht="21">
      <c r="A142" t="s">
        <v>152</v>
      </c>
      <c r="B142" s="3">
        <f t="shared" si="13"/>
        <v>24013.40425531915</v>
      </c>
      <c r="C142" s="3">
        <f t="shared" si="13"/>
        <v>2541.6453900709221</v>
      </c>
      <c r="D142" s="3">
        <f t="shared" si="13"/>
        <v>17435.014184397161</v>
      </c>
      <c r="E142">
        <v>141</v>
      </c>
      <c r="H142" s="9">
        <v>141</v>
      </c>
      <c r="I142" s="10" t="str">
        <f t="shared" si="15"/>
        <v>FIDESZ-KDNP</v>
      </c>
      <c r="J142" s="11">
        <f t="shared" si="14"/>
        <v>56</v>
      </c>
      <c r="K142" s="12">
        <f t="shared" si="16"/>
        <v>43898.875</v>
      </c>
    </row>
    <row r="143" spans="1:11" ht="21">
      <c r="A143" t="s">
        <v>153</v>
      </c>
      <c r="B143" s="3">
        <f t="shared" si="13"/>
        <v>23844.295774647886</v>
      </c>
      <c r="C143" s="3">
        <f t="shared" si="13"/>
        <v>2523.7464788732395</v>
      </c>
      <c r="D143" s="3">
        <f t="shared" si="13"/>
        <v>17312.232394366198</v>
      </c>
      <c r="E143">
        <v>142</v>
      </c>
      <c r="H143" s="9">
        <v>142</v>
      </c>
      <c r="I143" s="10" t="str">
        <f t="shared" si="15"/>
        <v>TISZA</v>
      </c>
      <c r="J143" s="11">
        <f t="shared" si="14"/>
        <v>78</v>
      </c>
      <c r="K143" s="12">
        <f t="shared" si="16"/>
        <v>43408.846153846156</v>
      </c>
    </row>
    <row r="144" spans="1:11" ht="21">
      <c r="A144" t="s">
        <v>154</v>
      </c>
      <c r="B144" s="3">
        <f t="shared" si="13"/>
        <v>23677.552447552447</v>
      </c>
      <c r="C144" s="3">
        <f t="shared" si="13"/>
        <v>2506.0979020979021</v>
      </c>
      <c r="D144" s="3">
        <f t="shared" si="13"/>
        <v>17191.167832167834</v>
      </c>
      <c r="E144">
        <v>143</v>
      </c>
      <c r="H144" s="9">
        <v>143</v>
      </c>
      <c r="I144" s="10" t="str">
        <f t="shared" si="15"/>
        <v>FIDESZ-KDNP</v>
      </c>
      <c r="J144" s="11">
        <f t="shared" si="14"/>
        <v>57.000000000000007</v>
      </c>
      <c r="K144" s="12">
        <f t="shared" si="16"/>
        <v>43128.719298245611</v>
      </c>
    </row>
    <row r="145" spans="1:11" ht="21">
      <c r="A145" t="s">
        <v>155</v>
      </c>
      <c r="B145" s="3">
        <f t="shared" si="13"/>
        <v>23513.125</v>
      </c>
      <c r="C145" s="3">
        <f t="shared" si="13"/>
        <v>2488.6944444444443</v>
      </c>
      <c r="D145" s="3">
        <f t="shared" si="13"/>
        <v>17071.784722222223</v>
      </c>
      <c r="E145">
        <v>144</v>
      </c>
      <c r="H145" s="9">
        <v>144</v>
      </c>
      <c r="I145" s="10" t="str">
        <f t="shared" si="15"/>
        <v>TISZA</v>
      </c>
      <c r="J145" s="11">
        <f t="shared" si="14"/>
        <v>79</v>
      </c>
      <c r="K145" s="12">
        <f t="shared" si="16"/>
        <v>42859.367088607592</v>
      </c>
    </row>
    <row r="146" spans="1:11" ht="21">
      <c r="A146" t="s">
        <v>156</v>
      </c>
      <c r="B146" s="3">
        <f t="shared" si="13"/>
        <v>23350.96551724138</v>
      </c>
      <c r="C146" s="3">
        <f t="shared" si="13"/>
        <v>2471.5310344827585</v>
      </c>
      <c r="D146" s="3">
        <f t="shared" si="13"/>
        <v>16954.048275862067</v>
      </c>
      <c r="E146">
        <v>145</v>
      </c>
      <c r="H146" s="9">
        <v>145</v>
      </c>
      <c r="I146" s="10" t="str">
        <f t="shared" si="15"/>
        <v>FIDESZ-KDNP</v>
      </c>
      <c r="J146" s="11">
        <f t="shared" si="14"/>
        <v>58</v>
      </c>
      <c r="K146" s="12">
        <f t="shared" si="16"/>
        <v>42385.120689655174</v>
      </c>
    </row>
    <row r="147" spans="1:11" ht="21">
      <c r="A147" t="s">
        <v>157</v>
      </c>
      <c r="B147" s="3">
        <f t="shared" si="13"/>
        <v>23191.027397260274</v>
      </c>
      <c r="C147" s="3">
        <f t="shared" si="13"/>
        <v>2454.6027397260273</v>
      </c>
      <c r="D147" s="3">
        <f t="shared" si="13"/>
        <v>16837.924657534248</v>
      </c>
      <c r="E147">
        <v>146</v>
      </c>
      <c r="H147" s="9">
        <v>146</v>
      </c>
      <c r="I147" s="10" t="str">
        <f t="shared" si="15"/>
        <v>TISZA</v>
      </c>
      <c r="J147" s="11">
        <f t="shared" si="14"/>
        <v>80</v>
      </c>
      <c r="K147" s="12">
        <f t="shared" si="16"/>
        <v>42323.625</v>
      </c>
    </row>
    <row r="148" spans="1:11" ht="21">
      <c r="A148" t="s">
        <v>158</v>
      </c>
      <c r="B148" s="3">
        <f t="shared" si="13"/>
        <v>23033.265306122448</v>
      </c>
      <c r="C148" s="3">
        <f t="shared" si="13"/>
        <v>2437.9047619047619</v>
      </c>
      <c r="D148" s="3">
        <f t="shared" si="13"/>
        <v>16723.380952380954</v>
      </c>
      <c r="E148">
        <v>147</v>
      </c>
      <c r="H148" s="9">
        <v>147</v>
      </c>
      <c r="I148" s="10" t="str">
        <f t="shared" si="15"/>
        <v>TISZA</v>
      </c>
      <c r="J148" s="11">
        <f t="shared" si="14"/>
        <v>81</v>
      </c>
      <c r="K148" s="12">
        <f t="shared" si="16"/>
        <v>41801.111111111109</v>
      </c>
    </row>
    <row r="149" spans="1:11" ht="21">
      <c r="A149" t="s">
        <v>159</v>
      </c>
      <c r="B149" s="3">
        <f t="shared" si="13"/>
        <v>22877.635135135137</v>
      </c>
      <c r="C149" s="3">
        <f t="shared" si="13"/>
        <v>2421.4324324324325</v>
      </c>
      <c r="D149" s="3">
        <f t="shared" si="13"/>
        <v>16610.385135135137</v>
      </c>
      <c r="E149">
        <v>148</v>
      </c>
      <c r="H149" s="9">
        <v>148</v>
      </c>
      <c r="I149" s="10" t="str">
        <f t="shared" si="15"/>
        <v>FIDESZ-KDNP</v>
      </c>
      <c r="J149" s="11">
        <f t="shared" si="14"/>
        <v>59.000000000000007</v>
      </c>
      <c r="K149" s="12">
        <f t="shared" si="16"/>
        <v>41666.728813559319</v>
      </c>
    </row>
    <row r="150" spans="1:11" ht="21">
      <c r="A150" t="s">
        <v>160</v>
      </c>
      <c r="B150" s="3">
        <f t="shared" si="13"/>
        <v>22724.093959731545</v>
      </c>
      <c r="C150" s="3">
        <f t="shared" si="13"/>
        <v>2405.1812080536911</v>
      </c>
      <c r="D150" s="3">
        <f t="shared" si="13"/>
        <v>16498.906040268455</v>
      </c>
      <c r="E150">
        <v>149</v>
      </c>
      <c r="H150" s="9">
        <v>149</v>
      </c>
      <c r="I150" s="10" t="str">
        <f t="shared" si="15"/>
        <v>TISZA</v>
      </c>
      <c r="J150" s="11">
        <f t="shared" si="14"/>
        <v>82</v>
      </c>
      <c r="K150" s="12">
        <f t="shared" si="16"/>
        <v>41291.341463414632</v>
      </c>
    </row>
    <row r="151" spans="1:11" ht="21">
      <c r="A151" t="s">
        <v>161</v>
      </c>
      <c r="B151" s="3">
        <f t="shared" si="13"/>
        <v>22572.6</v>
      </c>
      <c r="C151" s="3">
        <f t="shared" si="13"/>
        <v>2389.1466666666665</v>
      </c>
      <c r="D151" s="3">
        <f t="shared" si="13"/>
        <v>16388.913333333334</v>
      </c>
      <c r="E151">
        <v>150</v>
      </c>
      <c r="H151" s="9">
        <v>150</v>
      </c>
      <c r="I151" s="10" t="str">
        <f t="shared" si="15"/>
        <v>FIDESZ-KDNP</v>
      </c>
      <c r="J151" s="11">
        <f t="shared" si="14"/>
        <v>60</v>
      </c>
      <c r="K151" s="12">
        <f t="shared" si="16"/>
        <v>40972.283333333333</v>
      </c>
    </row>
    <row r="152" spans="1:11" ht="21">
      <c r="A152" t="s">
        <v>162</v>
      </c>
      <c r="B152" s="3">
        <f t="shared" si="13"/>
        <v>22423.112582781458</v>
      </c>
      <c r="C152" s="3">
        <f t="shared" si="13"/>
        <v>2373.3245033112585</v>
      </c>
      <c r="D152" s="3">
        <f t="shared" si="13"/>
        <v>16280.377483443708</v>
      </c>
      <c r="E152">
        <v>151</v>
      </c>
      <c r="H152" s="9">
        <v>151</v>
      </c>
      <c r="I152" s="10" t="str">
        <f t="shared" si="15"/>
        <v>TISZA</v>
      </c>
      <c r="J152" s="11">
        <f t="shared" si="14"/>
        <v>83</v>
      </c>
      <c r="K152" s="12">
        <f t="shared" si="16"/>
        <v>40793.855421686749</v>
      </c>
    </row>
    <row r="153" spans="1:11" ht="21">
      <c r="A153" t="s">
        <v>163</v>
      </c>
      <c r="B153" s="3">
        <f t="shared" si="13"/>
        <v>22275.592105263157</v>
      </c>
      <c r="C153" s="3">
        <f t="shared" si="13"/>
        <v>2357.7105263157896</v>
      </c>
      <c r="D153" s="3">
        <f t="shared" si="13"/>
        <v>16173.269736842105</v>
      </c>
      <c r="E153">
        <v>152</v>
      </c>
      <c r="H153" s="9">
        <v>152</v>
      </c>
      <c r="I153" s="10" t="str">
        <f t="shared" si="15"/>
        <v>TISZA</v>
      </c>
      <c r="J153" s="11">
        <f t="shared" si="14"/>
        <v>84</v>
      </c>
      <c r="K153" s="12">
        <f t="shared" si="16"/>
        <v>40308.214285714283</v>
      </c>
    </row>
    <row r="154" spans="1:11" ht="21">
      <c r="A154" t="s">
        <v>164</v>
      </c>
      <c r="B154" s="3">
        <f t="shared" si="13"/>
        <v>22130</v>
      </c>
      <c r="C154" s="3">
        <f t="shared" si="13"/>
        <v>2342.3006535947711</v>
      </c>
      <c r="D154" s="3">
        <f t="shared" si="13"/>
        <v>16067.562091503269</v>
      </c>
      <c r="E154">
        <v>153</v>
      </c>
      <c r="H154" s="9">
        <v>153</v>
      </c>
      <c r="I154" s="10" t="str">
        <f t="shared" si="15"/>
        <v>FIDESZ-KDNP</v>
      </c>
      <c r="J154" s="11">
        <f t="shared" si="14"/>
        <v>61.000000000000007</v>
      </c>
      <c r="K154" s="12">
        <f t="shared" si="16"/>
        <v>40300.606557377047</v>
      </c>
    </row>
    <row r="155" spans="1:11" ht="21">
      <c r="A155" t="s">
        <v>165</v>
      </c>
      <c r="B155" s="3">
        <f t="shared" si="13"/>
        <v>21986.2987012987</v>
      </c>
      <c r="C155" s="3">
        <f t="shared" si="13"/>
        <v>2327.090909090909</v>
      </c>
      <c r="D155" s="3">
        <f t="shared" si="13"/>
        <v>15963.227272727272</v>
      </c>
      <c r="E155">
        <v>154</v>
      </c>
      <c r="H155" s="9">
        <v>154</v>
      </c>
      <c r="I155" s="10" t="str">
        <f t="shared" si="15"/>
        <v>TISZA</v>
      </c>
      <c r="J155" s="11">
        <f t="shared" si="14"/>
        <v>85</v>
      </c>
      <c r="K155" s="12">
        <f t="shared" si="16"/>
        <v>39834</v>
      </c>
    </row>
    <row r="156" spans="1:11" ht="21">
      <c r="A156" t="s">
        <v>166</v>
      </c>
      <c r="B156" s="3">
        <f t="shared" si="13"/>
        <v>21844.451612903227</v>
      </c>
      <c r="C156" s="3">
        <f t="shared" si="13"/>
        <v>2312.0774193548386</v>
      </c>
      <c r="D156" s="3">
        <f t="shared" si="13"/>
        <v>15860.23870967742</v>
      </c>
      <c r="E156">
        <v>155</v>
      </c>
      <c r="H156" s="9">
        <v>155</v>
      </c>
      <c r="I156" s="10" t="str">
        <f t="shared" si="15"/>
        <v>Mi Hazánk</v>
      </c>
      <c r="J156" s="11">
        <f t="shared" si="14"/>
        <v>9</v>
      </c>
      <c r="K156" s="12">
        <f t="shared" si="16"/>
        <v>39819.111111111109</v>
      </c>
    </row>
    <row r="157" spans="1:11" ht="21">
      <c r="A157" t="s">
        <v>167</v>
      </c>
      <c r="B157" s="3">
        <f t="shared" si="13"/>
        <v>21704.423076923078</v>
      </c>
      <c r="C157" s="3">
        <f t="shared" si="13"/>
        <v>2297.2564102564102</v>
      </c>
      <c r="D157" s="3">
        <f t="shared" si="13"/>
        <v>15758.570512820514</v>
      </c>
      <c r="E157">
        <v>156</v>
      </c>
      <c r="H157" s="9">
        <v>156</v>
      </c>
      <c r="I157" s="10" t="str">
        <f t="shared" si="15"/>
        <v>FIDESZ-KDNP</v>
      </c>
      <c r="J157" s="11">
        <f t="shared" si="14"/>
        <v>62.000000000000007</v>
      </c>
      <c r="K157" s="12">
        <f t="shared" si="16"/>
        <v>39650.596774193546</v>
      </c>
    </row>
    <row r="158" spans="1:11" ht="21">
      <c r="A158" t="s">
        <v>168</v>
      </c>
      <c r="B158" s="3">
        <f t="shared" si="13"/>
        <v>21566.178343949046</v>
      </c>
      <c r="C158" s="3">
        <f t="shared" si="13"/>
        <v>2282.624203821656</v>
      </c>
      <c r="D158" s="3">
        <f t="shared" si="13"/>
        <v>15658.197452229299</v>
      </c>
      <c r="E158">
        <v>157</v>
      </c>
      <c r="H158" s="9">
        <v>157</v>
      </c>
      <c r="I158" s="10" t="str">
        <f t="shared" si="15"/>
        <v>TISZA</v>
      </c>
      <c r="J158" s="11">
        <f t="shared" si="14"/>
        <v>86</v>
      </c>
      <c r="K158" s="12">
        <f t="shared" si="16"/>
        <v>39370.813953488374</v>
      </c>
    </row>
    <row r="159" spans="1:11" ht="21">
      <c r="A159" t="s">
        <v>169</v>
      </c>
      <c r="B159" s="3">
        <f t="shared" si="13"/>
        <v>21429.683544303796</v>
      </c>
      <c r="C159" s="3">
        <f t="shared" si="13"/>
        <v>2268.1772151898736</v>
      </c>
      <c r="D159" s="3">
        <f t="shared" si="13"/>
        <v>15559.094936708861</v>
      </c>
      <c r="E159">
        <v>158</v>
      </c>
      <c r="H159" s="9">
        <v>158</v>
      </c>
      <c r="I159" s="10" t="str">
        <f t="shared" si="15"/>
        <v>FIDESZ-KDNP</v>
      </c>
      <c r="J159" s="11">
        <f t="shared" si="14"/>
        <v>63.000000000000007</v>
      </c>
      <c r="K159" s="12">
        <f t="shared" si="16"/>
        <v>39021.222222222219</v>
      </c>
    </row>
    <row r="160" spans="1:11" ht="21">
      <c r="A160" t="s">
        <v>170</v>
      </c>
      <c r="B160" s="3">
        <f t="shared" si="13"/>
        <v>21294.905660377357</v>
      </c>
      <c r="C160" s="3">
        <f t="shared" si="13"/>
        <v>2253.9119496855346</v>
      </c>
      <c r="D160" s="3">
        <f t="shared" si="13"/>
        <v>15461.238993710691</v>
      </c>
      <c r="E160">
        <v>159</v>
      </c>
      <c r="H160" s="9">
        <v>159</v>
      </c>
      <c r="I160" s="10" t="str">
        <f t="shared" si="15"/>
        <v>TISZA</v>
      </c>
      <c r="J160" s="11">
        <f t="shared" si="14"/>
        <v>87</v>
      </c>
      <c r="K160" s="12">
        <f t="shared" si="16"/>
        <v>38918.275862068964</v>
      </c>
    </row>
    <row r="161" spans="1:11" ht="21">
      <c r="A161" t="s">
        <v>171</v>
      </c>
      <c r="B161" s="3">
        <f t="shared" si="13"/>
        <v>21161.8125</v>
      </c>
      <c r="C161" s="3">
        <f t="shared" si="13"/>
        <v>2239.8249999999998</v>
      </c>
      <c r="D161" s="3">
        <f t="shared" si="13"/>
        <v>15364.606250000001</v>
      </c>
      <c r="E161">
        <v>160</v>
      </c>
      <c r="H161" s="9">
        <v>160</v>
      </c>
      <c r="I161" s="10" t="str">
        <f t="shared" si="15"/>
        <v>TISZA</v>
      </c>
      <c r="J161" s="11">
        <f t="shared" si="14"/>
        <v>88</v>
      </c>
      <c r="K161" s="12">
        <f t="shared" si="16"/>
        <v>38476.022727272728</v>
      </c>
    </row>
    <row r="162" spans="1:11" ht="21">
      <c r="A162" t="s">
        <v>172</v>
      </c>
      <c r="B162" s="3">
        <f t="shared" si="13"/>
        <v>21030.372670807454</v>
      </c>
      <c r="C162" s="3">
        <f t="shared" si="13"/>
        <v>2225.913043478261</v>
      </c>
      <c r="D162" s="3">
        <f t="shared" si="13"/>
        <v>15269.173913043478</v>
      </c>
      <c r="E162">
        <v>161</v>
      </c>
      <c r="H162" s="9">
        <v>161</v>
      </c>
      <c r="I162" s="10" t="str">
        <f t="shared" si="15"/>
        <v>FIDESZ-KDNP</v>
      </c>
      <c r="J162" s="11">
        <f t="shared" si="14"/>
        <v>64</v>
      </c>
      <c r="K162" s="12">
        <f t="shared" si="16"/>
        <v>38411.515625</v>
      </c>
    </row>
    <row r="163" spans="1:11" ht="21">
      <c r="A163" t="s">
        <v>173</v>
      </c>
      <c r="B163" s="3">
        <f t="shared" si="13"/>
        <v>20900.555555555555</v>
      </c>
      <c r="C163" s="3">
        <f t="shared" si="13"/>
        <v>2212.1728395061727</v>
      </c>
      <c r="D163" s="3">
        <f t="shared" si="13"/>
        <v>15174.91975308642</v>
      </c>
      <c r="E163">
        <v>162</v>
      </c>
      <c r="H163" s="9">
        <v>162</v>
      </c>
      <c r="I163" s="10" t="str">
        <f t="shared" si="15"/>
        <v>TISZA</v>
      </c>
      <c r="J163" s="11">
        <f t="shared" si="14"/>
        <v>89</v>
      </c>
      <c r="K163" s="12">
        <f t="shared" si="16"/>
        <v>38043.707865168537</v>
      </c>
    </row>
    <row r="164" spans="1:11" ht="21">
      <c r="A164" t="s">
        <v>174</v>
      </c>
      <c r="B164" s="3">
        <f t="shared" si="13"/>
        <v>20772.331288343557</v>
      </c>
      <c r="C164" s="3">
        <f t="shared" si="13"/>
        <v>2198.6012269938651</v>
      </c>
      <c r="D164" s="3">
        <f t="shared" si="13"/>
        <v>15081.822085889571</v>
      </c>
      <c r="E164">
        <v>163</v>
      </c>
      <c r="H164" s="9">
        <v>163</v>
      </c>
      <c r="I164" s="10" t="str">
        <f t="shared" si="15"/>
        <v>FIDESZ-KDNP</v>
      </c>
      <c r="J164" s="11">
        <f t="shared" si="14"/>
        <v>65</v>
      </c>
      <c r="K164" s="12">
        <f t="shared" si="16"/>
        <v>37820.56923076923</v>
      </c>
    </row>
    <row r="165" spans="1:11" ht="21">
      <c r="A165" t="s">
        <v>175</v>
      </c>
      <c r="B165" s="3">
        <f t="shared" si="13"/>
        <v>20645.670731707316</v>
      </c>
      <c r="C165" s="3">
        <f t="shared" si="13"/>
        <v>2185.1951219512193</v>
      </c>
      <c r="D165" s="3">
        <f t="shared" si="13"/>
        <v>14989.859756097561</v>
      </c>
      <c r="E165">
        <v>164</v>
      </c>
      <c r="H165" s="9">
        <v>164</v>
      </c>
      <c r="I165" s="10" t="str">
        <f t="shared" si="15"/>
        <v>TISZA</v>
      </c>
      <c r="J165" s="11">
        <f t="shared" si="14"/>
        <v>90</v>
      </c>
      <c r="K165" s="12">
        <f t="shared" si="16"/>
        <v>37621</v>
      </c>
    </row>
    <row r="166" spans="1:11" ht="21">
      <c r="A166" t="s">
        <v>176</v>
      </c>
      <c r="B166" s="3">
        <f t="shared" si="13"/>
        <v>20520.545454545456</v>
      </c>
      <c r="C166" s="3">
        <f t="shared" si="13"/>
        <v>2171.9515151515152</v>
      </c>
      <c r="D166" s="3">
        <f t="shared" si="13"/>
        <v>14899.012121212121</v>
      </c>
      <c r="E166">
        <v>165</v>
      </c>
      <c r="H166" s="9">
        <v>165</v>
      </c>
      <c r="I166" s="10" t="str">
        <f t="shared" si="15"/>
        <v>FIDESZ-KDNP</v>
      </c>
      <c r="J166" s="11">
        <f t="shared" si="14"/>
        <v>66</v>
      </c>
      <c r="K166" s="12">
        <f t="shared" si="16"/>
        <v>37247.530303030304</v>
      </c>
    </row>
    <row r="167" spans="1:11" ht="21">
      <c r="A167" t="s">
        <v>177</v>
      </c>
      <c r="B167" s="3">
        <f t="shared" si="13"/>
        <v>20396.927710843374</v>
      </c>
      <c r="C167" s="3">
        <f t="shared" si="13"/>
        <v>2158.867469879518</v>
      </c>
      <c r="D167" s="3">
        <f t="shared" si="13"/>
        <v>14809.259036144578</v>
      </c>
      <c r="E167">
        <v>166</v>
      </c>
      <c r="H167" s="9">
        <v>166</v>
      </c>
      <c r="I167" s="10" t="str">
        <f t="shared" si="15"/>
        <v>TISZA</v>
      </c>
      <c r="J167" s="11">
        <f t="shared" si="14"/>
        <v>91</v>
      </c>
      <c r="K167" s="12">
        <f t="shared" si="16"/>
        <v>37207.582417582416</v>
      </c>
    </row>
    <row r="168" spans="1:11" ht="21">
      <c r="A168" t="s">
        <v>178</v>
      </c>
      <c r="B168" s="3">
        <f t="shared" si="13"/>
        <v>20274.790419161676</v>
      </c>
      <c r="C168" s="3">
        <f t="shared" si="13"/>
        <v>2145.9401197604789</v>
      </c>
      <c r="D168" s="3">
        <f t="shared" si="13"/>
        <v>14720.580838323353</v>
      </c>
      <c r="E168">
        <v>167</v>
      </c>
      <c r="H168" s="9">
        <v>167</v>
      </c>
      <c r="I168" s="10" t="str">
        <f t="shared" si="15"/>
        <v>TISZA</v>
      </c>
      <c r="J168" s="11">
        <f t="shared" si="14"/>
        <v>92.000000000000014</v>
      </c>
      <c r="K168" s="12">
        <f t="shared" si="16"/>
        <v>36803.15217391304</v>
      </c>
    </row>
    <row r="169" spans="1:11" ht="21">
      <c r="A169" t="s">
        <v>179</v>
      </c>
      <c r="B169" s="3">
        <f t="shared" si="13"/>
        <v>20154.107142857141</v>
      </c>
      <c r="C169" s="3">
        <f t="shared" si="13"/>
        <v>2133.1666666666665</v>
      </c>
      <c r="D169" s="3">
        <f t="shared" si="13"/>
        <v>14632.958333333334</v>
      </c>
      <c r="E169">
        <v>168</v>
      </c>
      <c r="H169" s="9">
        <v>168</v>
      </c>
      <c r="I169" s="10" t="str">
        <f t="shared" si="15"/>
        <v>FIDESZ-KDNP</v>
      </c>
      <c r="J169" s="11">
        <f t="shared" si="14"/>
        <v>67</v>
      </c>
      <c r="K169" s="12">
        <f t="shared" si="16"/>
        <v>36691.59701492537</v>
      </c>
    </row>
    <row r="170" spans="1:11" ht="21">
      <c r="A170" t="s">
        <v>180</v>
      </c>
      <c r="B170" s="3">
        <f t="shared" si="13"/>
        <v>20034.852071005917</v>
      </c>
      <c r="C170" s="3">
        <f t="shared" si="13"/>
        <v>2120.544378698225</v>
      </c>
      <c r="D170" s="3">
        <f t="shared" si="13"/>
        <v>14546.372781065089</v>
      </c>
      <c r="E170">
        <v>169</v>
      </c>
      <c r="H170" s="9">
        <v>169</v>
      </c>
      <c r="I170" s="10" t="str">
        <f t="shared" si="15"/>
        <v>TISZA</v>
      </c>
      <c r="J170" s="11">
        <f t="shared" si="14"/>
        <v>93</v>
      </c>
      <c r="K170" s="12">
        <f t="shared" si="16"/>
        <v>36407.419354838712</v>
      </c>
    </row>
    <row r="171" spans="1:11" ht="21">
      <c r="A171" t="s">
        <v>181</v>
      </c>
      <c r="B171" s="3">
        <f t="shared" si="13"/>
        <v>19917</v>
      </c>
      <c r="C171" s="3">
        <f t="shared" si="13"/>
        <v>2108.0705882352941</v>
      </c>
      <c r="D171" s="3">
        <f t="shared" si="13"/>
        <v>14460.805882352941</v>
      </c>
      <c r="E171">
        <v>170</v>
      </c>
      <c r="H171" s="9">
        <v>170</v>
      </c>
      <c r="I171" s="10" t="str">
        <f t="shared" si="15"/>
        <v>FIDESZ-KDNP</v>
      </c>
      <c r="J171" s="11">
        <f t="shared" si="14"/>
        <v>68</v>
      </c>
      <c r="K171" s="12">
        <f t="shared" si="16"/>
        <v>36152.01470588235</v>
      </c>
    </row>
    <row r="172" spans="1:11" ht="21">
      <c r="A172" t="s">
        <v>182</v>
      </c>
      <c r="B172" s="3">
        <f t="shared" si="13"/>
        <v>19800.526315789473</v>
      </c>
      <c r="C172" s="3">
        <f t="shared" si="13"/>
        <v>2095.7426900584796</v>
      </c>
      <c r="D172" s="3">
        <f t="shared" si="13"/>
        <v>14376.239766081871</v>
      </c>
      <c r="E172">
        <v>171</v>
      </c>
      <c r="H172" s="9">
        <v>171</v>
      </c>
      <c r="I172" s="10" t="str">
        <f t="shared" si="15"/>
        <v>TISZA</v>
      </c>
      <c r="J172" s="11">
        <f t="shared" si="14"/>
        <v>94</v>
      </c>
      <c r="K172" s="12">
        <f t="shared" si="16"/>
        <v>36020.106382978724</v>
      </c>
    </row>
    <row r="173" spans="1:11" ht="21">
      <c r="A173" t="s">
        <v>183</v>
      </c>
      <c r="B173" s="3">
        <f t="shared" si="13"/>
        <v>19685.406976744187</v>
      </c>
      <c r="C173" s="3">
        <f t="shared" si="13"/>
        <v>2083.5581395348836</v>
      </c>
      <c r="D173" s="3">
        <f t="shared" si="13"/>
        <v>14292.656976744185</v>
      </c>
      <c r="E173">
        <v>172</v>
      </c>
      <c r="H173" s="9">
        <v>172</v>
      </c>
      <c r="I173" s="10" t="str">
        <f t="shared" si="15"/>
        <v>Mi Hazánk</v>
      </c>
      <c r="J173" s="11">
        <f t="shared" si="14"/>
        <v>10</v>
      </c>
      <c r="K173" s="12">
        <f t="shared" si="16"/>
        <v>35837.199999999997</v>
      </c>
    </row>
    <row r="174" spans="1:11" ht="21">
      <c r="A174" t="s">
        <v>184</v>
      </c>
      <c r="B174" s="3">
        <f t="shared" si="13"/>
        <v>19571.618497109826</v>
      </c>
      <c r="C174" s="3">
        <f t="shared" si="13"/>
        <v>2071.5144508670519</v>
      </c>
      <c r="D174" s="3">
        <f t="shared" si="13"/>
        <v>14210.040462427745</v>
      </c>
      <c r="E174">
        <v>173</v>
      </c>
      <c r="H174" s="9">
        <v>173</v>
      </c>
      <c r="I174" s="10" t="str">
        <f t="shared" si="15"/>
        <v>TISZA</v>
      </c>
      <c r="J174" s="11">
        <f t="shared" si="14"/>
        <v>95</v>
      </c>
      <c r="K174" s="12">
        <f t="shared" si="16"/>
        <v>35640.947368421053</v>
      </c>
    </row>
    <row r="175" spans="1:11" ht="21">
      <c r="A175" t="s">
        <v>185</v>
      </c>
      <c r="B175" s="3">
        <f t="shared" si="13"/>
        <v>19459.137931034482</v>
      </c>
      <c r="C175" s="3">
        <f t="shared" si="13"/>
        <v>2059.6091954022991</v>
      </c>
      <c r="D175" s="3">
        <f t="shared" si="13"/>
        <v>14128.373563218391</v>
      </c>
      <c r="E175">
        <v>174</v>
      </c>
      <c r="H175" s="9">
        <v>174</v>
      </c>
      <c r="I175" s="10" t="str">
        <f t="shared" si="15"/>
        <v>FIDESZ-KDNP</v>
      </c>
      <c r="J175" s="11">
        <f t="shared" si="14"/>
        <v>69</v>
      </c>
      <c r="K175" s="12">
        <f t="shared" si="16"/>
        <v>35628.072463768112</v>
      </c>
    </row>
    <row r="176" spans="1:11" ht="21">
      <c r="A176" t="s">
        <v>186</v>
      </c>
      <c r="B176" s="3">
        <f t="shared" si="13"/>
        <v>19347.942857142858</v>
      </c>
      <c r="C176" s="3">
        <f t="shared" si="13"/>
        <v>2047.84</v>
      </c>
      <c r="D176" s="3">
        <f t="shared" si="13"/>
        <v>14047.64</v>
      </c>
      <c r="E176">
        <v>175</v>
      </c>
      <c r="H176" s="9">
        <v>175</v>
      </c>
      <c r="I176" s="10" t="str">
        <f t="shared" si="15"/>
        <v>TISZA</v>
      </c>
      <c r="J176" s="11">
        <f t="shared" si="14"/>
        <v>96</v>
      </c>
      <c r="K176" s="12">
        <f t="shared" si="16"/>
        <v>35269.6875</v>
      </c>
    </row>
    <row r="177" spans="1:11" ht="21">
      <c r="A177" t="s">
        <v>187</v>
      </c>
      <c r="B177" s="3">
        <f t="shared" si="13"/>
        <v>19238.011363636364</v>
      </c>
      <c r="C177" s="3">
        <f t="shared" si="13"/>
        <v>2036.2045454545455</v>
      </c>
      <c r="D177" s="3">
        <f t="shared" si="13"/>
        <v>13967.823863636364</v>
      </c>
      <c r="E177">
        <v>176</v>
      </c>
      <c r="H177" s="9">
        <v>176</v>
      </c>
      <c r="I177" s="10" t="str">
        <f t="shared" si="15"/>
        <v>FIDESZ-KDNP</v>
      </c>
      <c r="J177" s="11">
        <f t="shared" si="14"/>
        <v>70</v>
      </c>
      <c r="K177" s="12">
        <f t="shared" si="16"/>
        <v>35119.1</v>
      </c>
    </row>
    <row r="178" spans="1:11" ht="21">
      <c r="A178" t="s">
        <v>188</v>
      </c>
      <c r="B178" s="3">
        <f t="shared" si="13"/>
        <v>19129.322033898305</v>
      </c>
      <c r="C178" s="3">
        <f t="shared" si="13"/>
        <v>2024.7005649717514</v>
      </c>
      <c r="D178" s="3">
        <f t="shared" si="13"/>
        <v>13888.909604519775</v>
      </c>
      <c r="E178">
        <v>177</v>
      </c>
      <c r="H178" s="9">
        <v>177</v>
      </c>
      <c r="I178" s="10" t="str">
        <f t="shared" si="15"/>
        <v>TISZA</v>
      </c>
      <c r="J178" s="11">
        <f t="shared" si="14"/>
        <v>97.000000000000014</v>
      </c>
      <c r="K178" s="12">
        <f t="shared" si="16"/>
        <v>34906.082474226801</v>
      </c>
    </row>
    <row r="179" spans="1:11" ht="21">
      <c r="A179" t="s">
        <v>189</v>
      </c>
      <c r="B179" s="3">
        <f t="shared" ref="B179:D200" si="17">B$2/$E179</f>
        <v>19021.853932584268</v>
      </c>
      <c r="C179" s="3">
        <f t="shared" si="17"/>
        <v>2013.3258426966293</v>
      </c>
      <c r="D179" s="3">
        <f t="shared" si="17"/>
        <v>13810.882022471909</v>
      </c>
      <c r="E179">
        <v>178</v>
      </c>
      <c r="H179" s="9">
        <v>178</v>
      </c>
      <c r="I179" s="10" t="str">
        <f t="shared" si="15"/>
        <v>FIDESZ-KDNP</v>
      </c>
      <c r="J179" s="11">
        <f t="shared" si="14"/>
        <v>71</v>
      </c>
      <c r="K179" s="12">
        <f t="shared" si="16"/>
        <v>34624.464788732395</v>
      </c>
    </row>
    <row r="180" spans="1:11" ht="21">
      <c r="A180" t="s">
        <v>190</v>
      </c>
      <c r="B180" s="3">
        <f t="shared" si="17"/>
        <v>18915.58659217877</v>
      </c>
      <c r="C180" s="3">
        <f t="shared" si="17"/>
        <v>2002.0782122905027</v>
      </c>
      <c r="D180" s="3">
        <f t="shared" si="17"/>
        <v>13733.72625698324</v>
      </c>
      <c r="E180">
        <v>179</v>
      </c>
      <c r="H180" s="9">
        <v>179</v>
      </c>
      <c r="I180" s="10" t="str">
        <f t="shared" si="15"/>
        <v>TISZA</v>
      </c>
      <c r="J180" s="11">
        <f t="shared" si="14"/>
        <v>97.999999999999986</v>
      </c>
      <c r="K180" s="12">
        <f t="shared" si="16"/>
        <v>34549.897959183676</v>
      </c>
    </row>
    <row r="181" spans="1:11" ht="21">
      <c r="A181" t="s">
        <v>191</v>
      </c>
      <c r="B181" s="3">
        <f t="shared" si="17"/>
        <v>18810.5</v>
      </c>
      <c r="C181" s="3">
        <f t="shared" si="17"/>
        <v>1990.9555555555555</v>
      </c>
      <c r="D181" s="3">
        <f t="shared" si="17"/>
        <v>13657.427777777777</v>
      </c>
      <c r="E181">
        <v>180</v>
      </c>
      <c r="H181" s="9">
        <v>180</v>
      </c>
      <c r="I181" s="10" t="str">
        <f t="shared" si="15"/>
        <v>TISZA</v>
      </c>
      <c r="J181" s="11">
        <f t="shared" ref="J181:J200" si="18">IF(I181="TISZA",$B$2/K181,IF(I181="Mi Hazánk",$C$2/K181,$D$2/K181))</f>
        <v>99.000000000000014</v>
      </c>
      <c r="K181" s="12">
        <f t="shared" si="16"/>
        <v>34200.909090909088</v>
      </c>
    </row>
    <row r="182" spans="1:11" ht="21">
      <c r="A182" t="s">
        <v>192</v>
      </c>
      <c r="B182" s="3">
        <f t="shared" si="17"/>
        <v>18706.574585635361</v>
      </c>
      <c r="C182" s="3">
        <f t="shared" si="17"/>
        <v>1979.9558011049724</v>
      </c>
      <c r="D182" s="3">
        <f t="shared" si="17"/>
        <v>13581.972375690608</v>
      </c>
      <c r="E182">
        <v>181</v>
      </c>
      <c r="H182" s="9">
        <v>181</v>
      </c>
      <c r="I182" s="10" t="str">
        <f t="shared" si="15"/>
        <v>FIDESZ-KDNP</v>
      </c>
      <c r="J182" s="11">
        <f t="shared" si="18"/>
        <v>72</v>
      </c>
      <c r="K182" s="12">
        <f t="shared" si="16"/>
        <v>34143.569444444445</v>
      </c>
    </row>
    <row r="183" spans="1:11" ht="21">
      <c r="A183" t="s">
        <v>193</v>
      </c>
      <c r="B183" s="3">
        <f t="shared" si="17"/>
        <v>18603.791208791208</v>
      </c>
      <c r="C183" s="3">
        <f t="shared" si="17"/>
        <v>1969.0769230769231</v>
      </c>
      <c r="D183" s="3">
        <f t="shared" si="17"/>
        <v>13507.346153846154</v>
      </c>
      <c r="E183">
        <v>182</v>
      </c>
      <c r="H183" s="9">
        <v>182</v>
      </c>
      <c r="I183" s="10" t="str">
        <f t="shared" si="15"/>
        <v>TISZA</v>
      </c>
      <c r="J183" s="11">
        <f t="shared" si="18"/>
        <v>100</v>
      </c>
      <c r="K183" s="12">
        <f t="shared" si="16"/>
        <v>33858.9</v>
      </c>
    </row>
    <row r="184" spans="1:11" ht="21">
      <c r="A184" t="s">
        <v>194</v>
      </c>
      <c r="B184" s="3">
        <f t="shared" si="17"/>
        <v>18502.131147540982</v>
      </c>
      <c r="C184" s="3">
        <f t="shared" si="17"/>
        <v>1958.3169398907103</v>
      </c>
      <c r="D184" s="3">
        <f t="shared" si="17"/>
        <v>13433.535519125682</v>
      </c>
      <c r="E184">
        <v>183</v>
      </c>
      <c r="H184" s="9">
        <v>183</v>
      </c>
      <c r="I184" s="10" t="str">
        <f t="shared" si="15"/>
        <v>FIDESZ-KDNP</v>
      </c>
      <c r="J184" s="11">
        <f t="shared" si="18"/>
        <v>73</v>
      </c>
      <c r="K184" s="12">
        <f t="shared" si="16"/>
        <v>33675.849315068495</v>
      </c>
    </row>
    <row r="185" spans="1:11" ht="21">
      <c r="A185" t="s">
        <v>195</v>
      </c>
      <c r="B185" s="3">
        <f t="shared" si="17"/>
        <v>18401.57608695652</v>
      </c>
      <c r="C185" s="3">
        <f t="shared" si="17"/>
        <v>1947.6739130434783</v>
      </c>
      <c r="D185" s="3">
        <f t="shared" si="17"/>
        <v>13360.527173913044</v>
      </c>
      <c r="E185">
        <v>184</v>
      </c>
      <c r="H185" s="9">
        <v>184</v>
      </c>
      <c r="I185" s="10" t="str">
        <f t="shared" si="15"/>
        <v>TISZA</v>
      </c>
      <c r="J185" s="11">
        <f t="shared" si="18"/>
        <v>101.00000000000001</v>
      </c>
      <c r="K185" s="12">
        <f t="shared" si="16"/>
        <v>33523.66336633663</v>
      </c>
    </row>
    <row r="186" spans="1:11" ht="21">
      <c r="A186" t="s">
        <v>196</v>
      </c>
      <c r="B186" s="3">
        <f t="shared" si="17"/>
        <v>18302.108108108107</v>
      </c>
      <c r="C186" s="3">
        <f t="shared" si="17"/>
        <v>1937.1459459459459</v>
      </c>
      <c r="D186" s="3">
        <f t="shared" si="17"/>
        <v>13288.308108108107</v>
      </c>
      <c r="E186">
        <v>185</v>
      </c>
      <c r="H186" s="9">
        <v>185</v>
      </c>
      <c r="I186" s="10" t="str">
        <f t="shared" si="15"/>
        <v>FIDESZ-KDNP</v>
      </c>
      <c r="J186" s="11">
        <f t="shared" si="18"/>
        <v>73.999999999999986</v>
      </c>
      <c r="K186" s="12">
        <f t="shared" si="16"/>
        <v>33220.770270270274</v>
      </c>
    </row>
    <row r="187" spans="1:11" ht="21">
      <c r="A187" t="s">
        <v>197</v>
      </c>
      <c r="B187" s="3">
        <f t="shared" si="17"/>
        <v>18203.709677419356</v>
      </c>
      <c r="C187" s="3">
        <f t="shared" si="17"/>
        <v>1926.7311827956989</v>
      </c>
      <c r="D187" s="3">
        <f t="shared" si="17"/>
        <v>13216.865591397849</v>
      </c>
      <c r="E187">
        <v>186</v>
      </c>
      <c r="H187" s="9">
        <v>186</v>
      </c>
      <c r="I187" s="10" t="str">
        <f t="shared" si="15"/>
        <v>TISZA</v>
      </c>
      <c r="J187" s="11">
        <f t="shared" si="18"/>
        <v>102</v>
      </c>
      <c r="K187" s="12">
        <f t="shared" si="16"/>
        <v>33195</v>
      </c>
    </row>
    <row r="188" spans="1:11" ht="21">
      <c r="A188" t="s">
        <v>198</v>
      </c>
      <c r="B188" s="3">
        <f t="shared" si="17"/>
        <v>18106.363636363636</v>
      </c>
      <c r="C188" s="3">
        <f t="shared" si="17"/>
        <v>1916.4278074866311</v>
      </c>
      <c r="D188" s="3">
        <f t="shared" si="17"/>
        <v>13146.187165775402</v>
      </c>
      <c r="E188">
        <v>187</v>
      </c>
      <c r="H188" s="9">
        <v>187</v>
      </c>
      <c r="I188" s="10" t="str">
        <f t="shared" si="15"/>
        <v>TISZA</v>
      </c>
      <c r="J188" s="11">
        <f t="shared" si="18"/>
        <v>103.00000000000001</v>
      </c>
      <c r="K188" s="12">
        <f t="shared" si="16"/>
        <v>32872.718446601939</v>
      </c>
    </row>
    <row r="189" spans="1:11" ht="21">
      <c r="A189" t="s">
        <v>199</v>
      </c>
      <c r="B189" s="3">
        <f t="shared" si="17"/>
        <v>18010.053191489362</v>
      </c>
      <c r="C189" s="3">
        <f t="shared" si="17"/>
        <v>1906.2340425531916</v>
      </c>
      <c r="D189" s="3">
        <f t="shared" si="17"/>
        <v>13076.260638297872</v>
      </c>
      <c r="E189">
        <v>188</v>
      </c>
      <c r="H189" s="9">
        <v>188</v>
      </c>
      <c r="I189" s="10" t="str">
        <f t="shared" si="15"/>
        <v>FIDESZ-KDNP</v>
      </c>
      <c r="J189" s="11">
        <f t="shared" si="18"/>
        <v>75</v>
      </c>
      <c r="K189" s="12">
        <f t="shared" si="16"/>
        <v>32777.826666666668</v>
      </c>
    </row>
    <row r="190" spans="1:11" ht="21">
      <c r="A190" t="s">
        <v>200</v>
      </c>
      <c r="B190" s="3">
        <f t="shared" si="17"/>
        <v>17914.761904761905</v>
      </c>
      <c r="C190" s="3">
        <f t="shared" si="17"/>
        <v>1896.148148148148</v>
      </c>
      <c r="D190" s="3">
        <f t="shared" si="17"/>
        <v>13007.074074074075</v>
      </c>
      <c r="E190">
        <v>189</v>
      </c>
      <c r="H190" s="9">
        <v>189</v>
      </c>
      <c r="I190" s="10" t="str">
        <f t="shared" si="15"/>
        <v>Mi Hazánk</v>
      </c>
      <c r="J190" s="11">
        <f t="shared" si="18"/>
        <v>11</v>
      </c>
      <c r="K190" s="12">
        <f t="shared" si="16"/>
        <v>32579.272727272728</v>
      </c>
    </row>
    <row r="191" spans="1:11" ht="21">
      <c r="A191" t="s">
        <v>201</v>
      </c>
      <c r="B191" s="3">
        <f t="shared" si="17"/>
        <v>17820.473684210527</v>
      </c>
      <c r="C191" s="3">
        <f t="shared" si="17"/>
        <v>1886.1684210526316</v>
      </c>
      <c r="D191" s="3">
        <f t="shared" si="17"/>
        <v>12938.615789473684</v>
      </c>
      <c r="E191">
        <v>190</v>
      </c>
      <c r="H191" s="9">
        <v>190</v>
      </c>
      <c r="I191" s="10" t="str">
        <f t="shared" si="15"/>
        <v>TISZA</v>
      </c>
      <c r="J191" s="11">
        <f t="shared" si="18"/>
        <v>104</v>
      </c>
      <c r="K191" s="12">
        <f t="shared" si="16"/>
        <v>32556.634615384617</v>
      </c>
    </row>
    <row r="192" spans="1:11" ht="21">
      <c r="A192" t="s">
        <v>202</v>
      </c>
      <c r="B192" s="3">
        <f t="shared" si="17"/>
        <v>17727.172774869108</v>
      </c>
      <c r="C192" s="3">
        <f t="shared" si="17"/>
        <v>1876.2931937172775</v>
      </c>
      <c r="D192" s="3">
        <f t="shared" si="17"/>
        <v>12870.874345549739</v>
      </c>
      <c r="E192">
        <v>191</v>
      </c>
      <c r="H192" s="9">
        <v>191</v>
      </c>
      <c r="I192" s="10" t="str">
        <f t="shared" si="15"/>
        <v>FIDESZ-KDNP</v>
      </c>
      <c r="J192" s="11">
        <f t="shared" si="18"/>
        <v>76</v>
      </c>
      <c r="K192" s="12">
        <f t="shared" si="16"/>
        <v>32346.53947368421</v>
      </c>
    </row>
    <row r="193" spans="1:11" ht="21">
      <c r="A193" t="s">
        <v>203</v>
      </c>
      <c r="B193" s="3">
        <f t="shared" si="17"/>
        <v>17634.84375</v>
      </c>
      <c r="C193" s="3">
        <f t="shared" si="17"/>
        <v>1866.5208333333333</v>
      </c>
      <c r="D193" s="3">
        <f t="shared" si="17"/>
        <v>12803.838541666666</v>
      </c>
      <c r="E193">
        <v>192</v>
      </c>
      <c r="H193" s="9">
        <v>192</v>
      </c>
      <c r="I193" s="10" t="str">
        <f t="shared" si="15"/>
        <v>TISZA</v>
      </c>
      <c r="J193" s="11">
        <f t="shared" si="18"/>
        <v>105</v>
      </c>
      <c r="K193" s="12">
        <f t="shared" si="16"/>
        <v>32246.571428571428</v>
      </c>
    </row>
    <row r="194" spans="1:11" ht="21">
      <c r="A194" t="s">
        <v>204</v>
      </c>
      <c r="B194" s="3">
        <f t="shared" si="17"/>
        <v>17543.471502590673</v>
      </c>
      <c r="C194" s="3">
        <f t="shared" si="17"/>
        <v>1856.8497409326426</v>
      </c>
      <c r="D194" s="3">
        <f t="shared" si="17"/>
        <v>12737.497409326425</v>
      </c>
      <c r="E194">
        <v>193</v>
      </c>
      <c r="H194" s="9">
        <v>193</v>
      </c>
      <c r="I194" s="10" t="str">
        <f t="shared" si="15"/>
        <v>TISZA</v>
      </c>
      <c r="J194" s="11">
        <f t="shared" si="18"/>
        <v>106</v>
      </c>
      <c r="K194" s="12">
        <f t="shared" si="16"/>
        <v>31942.358490566039</v>
      </c>
    </row>
    <row r="195" spans="1:11" ht="21">
      <c r="A195" t="s">
        <v>205</v>
      </c>
      <c r="B195" s="3">
        <f t="shared" si="17"/>
        <v>17453.041237113401</v>
      </c>
      <c r="C195" s="3">
        <f t="shared" si="17"/>
        <v>1847.2783505154639</v>
      </c>
      <c r="D195" s="3">
        <f t="shared" si="17"/>
        <v>12671.840206185567</v>
      </c>
      <c r="E195">
        <v>194</v>
      </c>
      <c r="H195" s="9">
        <v>194</v>
      </c>
      <c r="I195" s="10" t="str">
        <f t="shared" ref="I195:I200" si="19">IF(COUNTIF($B$2:$B$200,K195)&gt;0,"TISZA",IF(COUNTIF($C$2:$C$200,K195)&gt;0,"Mi Hazánk","FIDESZ-KDNP"))</f>
        <v>FIDESZ-KDNP</v>
      </c>
      <c r="J195" s="11">
        <f t="shared" si="18"/>
        <v>77</v>
      </c>
      <c r="K195" s="12">
        <f t="shared" ref="K195:K200" si="20">LARGE($B$2:$D$200,H195)</f>
        <v>31926.454545454544</v>
      </c>
    </row>
    <row r="196" spans="1:11" ht="21">
      <c r="A196" t="s">
        <v>206</v>
      </c>
      <c r="B196" s="3">
        <f t="shared" si="17"/>
        <v>17363.538461538461</v>
      </c>
      <c r="C196" s="3">
        <f t="shared" si="17"/>
        <v>1837.8051282051283</v>
      </c>
      <c r="D196" s="3">
        <f t="shared" si="17"/>
        <v>12606.856410256411</v>
      </c>
      <c r="E196">
        <v>195</v>
      </c>
      <c r="H196" s="9">
        <v>195</v>
      </c>
      <c r="I196" s="10" t="str">
        <f t="shared" si="19"/>
        <v>TISZA</v>
      </c>
      <c r="J196" s="11">
        <f t="shared" si="18"/>
        <v>107</v>
      </c>
      <c r="K196" s="12">
        <f t="shared" si="20"/>
        <v>31643.831775700935</v>
      </c>
    </row>
    <row r="197" spans="1:11" ht="21">
      <c r="A197" t="s">
        <v>207</v>
      </c>
      <c r="B197" s="3">
        <f t="shared" si="17"/>
        <v>17274.948979591838</v>
      </c>
      <c r="C197" s="3">
        <f t="shared" si="17"/>
        <v>1828.4285714285713</v>
      </c>
      <c r="D197" s="3">
        <f t="shared" si="17"/>
        <v>12542.535714285714</v>
      </c>
      <c r="E197">
        <v>196</v>
      </c>
      <c r="H197" s="9">
        <v>196</v>
      </c>
      <c r="I197" s="10" t="str">
        <f t="shared" si="19"/>
        <v>FIDESZ-KDNP</v>
      </c>
      <c r="J197" s="11">
        <f t="shared" si="18"/>
        <v>78</v>
      </c>
      <c r="K197" s="12">
        <f t="shared" si="20"/>
        <v>31517.141025641027</v>
      </c>
    </row>
    <row r="198" spans="1:11" ht="21">
      <c r="A198" t="s">
        <v>208</v>
      </c>
      <c r="B198" s="3">
        <f t="shared" si="17"/>
        <v>17187.258883248731</v>
      </c>
      <c r="C198" s="3">
        <f t="shared" si="17"/>
        <v>1819.1472081218274</v>
      </c>
      <c r="D198" s="3">
        <f t="shared" si="17"/>
        <v>12478.868020304568</v>
      </c>
      <c r="E198">
        <v>197</v>
      </c>
      <c r="H198" s="9">
        <v>197</v>
      </c>
      <c r="I198" s="10" t="str">
        <f t="shared" si="19"/>
        <v>TISZA</v>
      </c>
      <c r="J198" s="11">
        <f t="shared" si="18"/>
        <v>108</v>
      </c>
      <c r="K198" s="12">
        <f t="shared" si="20"/>
        <v>31350.833333333332</v>
      </c>
    </row>
    <row r="199" spans="1:11" ht="21">
      <c r="A199" t="s">
        <v>209</v>
      </c>
      <c r="B199" s="3">
        <f t="shared" si="17"/>
        <v>17100.454545454544</v>
      </c>
      <c r="C199" s="3">
        <f t="shared" si="17"/>
        <v>1809.9595959595961</v>
      </c>
      <c r="D199" s="3">
        <f t="shared" si="17"/>
        <v>12415.843434343435</v>
      </c>
      <c r="E199">
        <v>198</v>
      </c>
      <c r="H199" s="9">
        <v>198</v>
      </c>
      <c r="I199" s="10" t="str">
        <f t="shared" si="19"/>
        <v>FIDESZ-KDNP</v>
      </c>
      <c r="J199" s="11">
        <f t="shared" si="18"/>
        <v>79</v>
      </c>
      <c r="K199" s="12">
        <f t="shared" si="20"/>
        <v>31118.189873417723</v>
      </c>
    </row>
    <row r="200" spans="1:11" ht="21">
      <c r="A200" t="s">
        <v>210</v>
      </c>
      <c r="B200" s="3">
        <f t="shared" si="17"/>
        <v>17014.522613065328</v>
      </c>
      <c r="C200" s="3">
        <f t="shared" si="17"/>
        <v>1800.8643216080402</v>
      </c>
      <c r="D200" s="3">
        <f t="shared" si="17"/>
        <v>12353.452261306533</v>
      </c>
      <c r="E200">
        <v>199</v>
      </c>
      <c r="H200" s="9">
        <v>199</v>
      </c>
      <c r="I200" s="10" t="str">
        <f t="shared" si="19"/>
        <v>TISZA</v>
      </c>
      <c r="J200" s="11">
        <f t="shared" si="18"/>
        <v>109</v>
      </c>
      <c r="K200" s="12">
        <f t="shared" si="20"/>
        <v>31063.211009174312</v>
      </c>
    </row>
  </sheetData>
  <mergeCells count="1">
    <mergeCell ref="M6:N6"/>
  </mergeCells>
  <phoneticPr fontId="11" type="noConversion"/>
  <conditionalFormatting sqref="B2:D200">
    <cfRule type="expression" dxfId="4" priority="4">
      <formula>B2&gt;=LARGE($B$2:$D$200,199)</formula>
    </cfRule>
  </conditionalFormatting>
  <conditionalFormatting sqref="I2:I200">
    <cfRule type="containsText" dxfId="7" priority="1" operator="containsText" text="Mi">
      <formula>NOT(ISERROR(SEARCH("Mi",I2)))</formula>
    </cfRule>
    <cfRule type="containsText" dxfId="6" priority="2" operator="containsText" text="FIDESZ">
      <formula>NOT(ISERROR(SEARCH("FIDESZ",I2)))</formula>
    </cfRule>
    <cfRule type="containsText" dxfId="5" priority="3" operator="containsText" text="TISZA">
      <formula>NOT(ISERROR(SEARCH("TISZA",I2)))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V2026</vt:lpstr>
      <vt:lpstr>Level-Nelkul</vt:lpstr>
      <vt:lpstr>Tisztan-Lista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Dr. Dúl</dc:creator>
  <cp:lastModifiedBy>Zoltán Dr. Dúl</cp:lastModifiedBy>
  <dcterms:created xsi:type="dcterms:W3CDTF">2026-04-18T13:46:22Z</dcterms:created>
  <dcterms:modified xsi:type="dcterms:W3CDTF">2026-04-20T06:50:46Z</dcterms:modified>
</cp:coreProperties>
</file>